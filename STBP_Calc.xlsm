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stbp_Calc\trunk\"/>
    </mc:Choice>
  </mc:AlternateContent>
  <bookViews>
    <workbookView xWindow="-12" yWindow="48" windowWidth="19320" windowHeight="12060" activeTab="1"/>
  </bookViews>
  <sheets>
    <sheet name="STBP_SingleSection" sheetId="1" r:id="rId1"/>
    <sheet name="STBP_MultipleSection" sheetId="5" r:id="rId2"/>
    <sheet name="Help" sheetId="4" r:id="rId3"/>
    <sheet name="DataTable" sheetId="3" r:id="rId4"/>
  </sheets>
  <functionGroups builtInGroupCount="18"/>
  <definedNames>
    <definedName name="Beton">DataTable!$A$5:$A$10</definedName>
    <definedName name="Concrete">DataTable!$A$5:$A$10</definedName>
    <definedName name="CrossType">DataTable!$R$12:$R$13</definedName>
    <definedName name="ductility">DataTable!$H$15:$J$15</definedName>
    <definedName name="ductility2">DataTable!$H$15:$K$15</definedName>
    <definedName name="NoDataValidation">DataTable!$X$3:$X$7</definedName>
    <definedName name="pcs">DataTable!$W$12:$W$31</definedName>
    <definedName name="_xlnm.Print_Area" localSheetId="0">STBP_SingleSection!$A$1:$K$46</definedName>
    <definedName name="Steel">DataTable!$A$16</definedName>
    <definedName name="steel2">DataTable!$A$16:$A$17</definedName>
    <definedName name="SteelDiam">DataTable!$G$21:$G$31</definedName>
    <definedName name="ULS_Coef">DataTable!$R$5:$R$7</definedName>
  </definedNames>
  <calcPr calcId="162913"/>
</workbook>
</file>

<file path=xl/calcChain.xml><?xml version="1.0" encoding="utf-8"?>
<calcChain xmlns="http://schemas.openxmlformats.org/spreadsheetml/2006/main">
  <c r="U60" i="5" l="1"/>
  <c r="G40" i="1" l="1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C40" i="1"/>
  <c r="M5" i="5" l="1"/>
  <c r="D6" i="5"/>
  <c r="D5" i="5"/>
  <c r="D4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5" i="5"/>
  <c r="B54" i="5"/>
  <c r="A54" i="5"/>
  <c r="A13" i="5"/>
  <c r="M13" i="5" s="1"/>
  <c r="A14" i="5"/>
  <c r="M14" i="5" s="1"/>
  <c r="A15" i="5"/>
  <c r="M15" i="5" s="1"/>
  <c r="A16" i="5"/>
  <c r="M16" i="5" s="1"/>
  <c r="A17" i="5"/>
  <c r="M17" i="5" s="1"/>
  <c r="A18" i="5"/>
  <c r="M18" i="5" s="1"/>
  <c r="A19" i="5"/>
  <c r="M19" i="5" s="1"/>
  <c r="A20" i="5"/>
  <c r="M20" i="5" s="1"/>
  <c r="A21" i="5"/>
  <c r="M21" i="5" s="1"/>
  <c r="A22" i="5"/>
  <c r="M22" i="5" s="1"/>
  <c r="A23" i="5"/>
  <c r="M23" i="5" s="1"/>
  <c r="A24" i="5"/>
  <c r="M24" i="5" s="1"/>
  <c r="A25" i="5"/>
  <c r="M25" i="5" s="1"/>
  <c r="A26" i="5"/>
  <c r="M26" i="5" s="1"/>
  <c r="A27" i="5"/>
  <c r="M27" i="5" s="1"/>
  <c r="A28" i="5"/>
  <c r="M28" i="5" s="1"/>
  <c r="A29" i="5"/>
  <c r="M29" i="5" s="1"/>
  <c r="A30" i="5"/>
  <c r="M30" i="5" s="1"/>
  <c r="A31" i="5"/>
  <c r="M31" i="5" s="1"/>
  <c r="A32" i="5"/>
  <c r="A33" i="5"/>
  <c r="M33" i="5" s="1"/>
  <c r="A34" i="5"/>
  <c r="M34" i="5" s="1"/>
  <c r="A35" i="5"/>
  <c r="M35" i="5" s="1"/>
  <c r="A36" i="5"/>
  <c r="M36" i="5" s="1"/>
  <c r="A37" i="5"/>
  <c r="M37" i="5" s="1"/>
  <c r="A38" i="5"/>
  <c r="M38" i="5" s="1"/>
  <c r="A39" i="5"/>
  <c r="M39" i="5" s="1"/>
  <c r="A40" i="5"/>
  <c r="M40" i="5" s="1"/>
  <c r="A41" i="5"/>
  <c r="M41" i="5" s="1"/>
  <c r="A76" i="5" l="1"/>
  <c r="O76" i="5" s="1"/>
  <c r="M32" i="5"/>
  <c r="A73" i="5"/>
  <c r="I29" i="5"/>
  <c r="I36" i="5"/>
  <c r="A80" i="5"/>
  <c r="A70" i="5"/>
  <c r="I26" i="5"/>
  <c r="A62" i="5"/>
  <c r="I18" i="5"/>
  <c r="A65" i="5"/>
  <c r="I21" i="5"/>
  <c r="A72" i="5"/>
  <c r="I28" i="5"/>
  <c r="A84" i="5"/>
  <c r="I40" i="5"/>
  <c r="A68" i="5"/>
  <c r="I24" i="5"/>
  <c r="I32" i="5"/>
  <c r="A81" i="5"/>
  <c r="I37" i="5"/>
  <c r="A57" i="5"/>
  <c r="I13" i="5"/>
  <c r="A64" i="5"/>
  <c r="I20" i="5"/>
  <c r="A78" i="5"/>
  <c r="I34" i="5"/>
  <c r="A60" i="5"/>
  <c r="I16" i="5"/>
  <c r="A82" i="5"/>
  <c r="I38" i="5"/>
  <c r="A74" i="5"/>
  <c r="I30" i="5"/>
  <c r="A66" i="5"/>
  <c r="I22" i="5"/>
  <c r="A58" i="5"/>
  <c r="I14" i="5"/>
  <c r="A79" i="5"/>
  <c r="I35" i="5"/>
  <c r="A71" i="5"/>
  <c r="I27" i="5"/>
  <c r="A63" i="5"/>
  <c r="I19" i="5"/>
  <c r="A85" i="5"/>
  <c r="I41" i="5"/>
  <c r="A77" i="5"/>
  <c r="I33" i="5"/>
  <c r="A69" i="5"/>
  <c r="I25" i="5"/>
  <c r="A61" i="5"/>
  <c r="I17" i="5"/>
  <c r="A83" i="5"/>
  <c r="I39" i="5"/>
  <c r="A75" i="5"/>
  <c r="I31" i="5"/>
  <c r="A67" i="5"/>
  <c r="I23" i="5"/>
  <c r="A59" i="5"/>
  <c r="I15" i="5"/>
  <c r="A12" i="5"/>
  <c r="M12" i="5" s="1"/>
  <c r="P4" i="5"/>
  <c r="S3" i="5"/>
  <c r="P3" i="5"/>
  <c r="G4" i="5"/>
  <c r="J3" i="5"/>
  <c r="G3" i="5"/>
  <c r="F76" i="5" l="1"/>
  <c r="D76" i="5"/>
  <c r="L76" i="5"/>
  <c r="C76" i="5"/>
  <c r="Y76" i="5"/>
  <c r="P76" i="5"/>
  <c r="X76" i="5"/>
  <c r="AA76" i="5"/>
  <c r="G76" i="5"/>
  <c r="V76" i="5"/>
  <c r="R76" i="5"/>
  <c r="W76" i="5"/>
  <c r="AB76" i="5" s="1"/>
  <c r="S76" i="5"/>
  <c r="J76" i="5"/>
  <c r="AC76" i="5"/>
  <c r="Q76" i="5"/>
  <c r="N76" i="5"/>
  <c r="M76" i="5"/>
  <c r="E76" i="5"/>
  <c r="K76" i="5"/>
  <c r="U76" i="5"/>
  <c r="I76" i="5"/>
  <c r="D77" i="5"/>
  <c r="M77" i="5"/>
  <c r="F77" i="5"/>
  <c r="O77" i="5"/>
  <c r="X77" i="5"/>
  <c r="G77" i="5"/>
  <c r="P77" i="5"/>
  <c r="Y77" i="5"/>
  <c r="I77" i="5"/>
  <c r="Q77" i="5"/>
  <c r="K77" i="5"/>
  <c r="S77" i="5"/>
  <c r="AC77" i="5"/>
  <c r="J77" i="5"/>
  <c r="N77" i="5"/>
  <c r="R77" i="5"/>
  <c r="U77" i="5"/>
  <c r="V77" i="5"/>
  <c r="C77" i="5"/>
  <c r="W77" i="5"/>
  <c r="AB77" i="5" s="1"/>
  <c r="E77" i="5"/>
  <c r="AA77" i="5"/>
  <c r="L77" i="5"/>
  <c r="I82" i="5"/>
  <c r="L82" i="5"/>
  <c r="U82" i="5"/>
  <c r="AC82" i="5"/>
  <c r="C82" i="5"/>
  <c r="M82" i="5"/>
  <c r="V82" i="5"/>
  <c r="D82" i="5"/>
  <c r="N82" i="5"/>
  <c r="W82" i="5"/>
  <c r="AB82" i="5" s="1"/>
  <c r="F82" i="5"/>
  <c r="P82" i="5"/>
  <c r="Y82" i="5"/>
  <c r="K82" i="5"/>
  <c r="O82" i="5"/>
  <c r="Q82" i="5"/>
  <c r="E82" i="5"/>
  <c r="G82" i="5"/>
  <c r="J82" i="5"/>
  <c r="R82" i="5"/>
  <c r="S82" i="5"/>
  <c r="X82" i="5"/>
  <c r="AA82" i="5"/>
  <c r="I72" i="5"/>
  <c r="Q72" i="5"/>
  <c r="K72" i="5"/>
  <c r="S72" i="5"/>
  <c r="C72" i="5"/>
  <c r="L72" i="5"/>
  <c r="U72" i="5"/>
  <c r="AC72" i="5"/>
  <c r="D72" i="5"/>
  <c r="M72" i="5"/>
  <c r="V72" i="5"/>
  <c r="F72" i="5"/>
  <c r="O72" i="5"/>
  <c r="X72" i="5"/>
  <c r="E72" i="5"/>
  <c r="AA72" i="5"/>
  <c r="J72" i="5"/>
  <c r="N72" i="5"/>
  <c r="P72" i="5"/>
  <c r="R72" i="5"/>
  <c r="W72" i="5"/>
  <c r="AB72" i="5" s="1"/>
  <c r="Y72" i="5"/>
  <c r="G72" i="5"/>
  <c r="I85" i="5"/>
  <c r="Q85" i="5"/>
  <c r="K85" i="5"/>
  <c r="S85" i="5"/>
  <c r="AC85" i="5"/>
  <c r="D85" i="5"/>
  <c r="M85" i="5"/>
  <c r="V85" i="5"/>
  <c r="E85" i="5"/>
  <c r="R85" i="5"/>
  <c r="G85" i="5"/>
  <c r="AA85" i="5"/>
  <c r="C85" i="5"/>
  <c r="F85" i="5"/>
  <c r="U85" i="5"/>
  <c r="W85" i="5"/>
  <c r="AB85" i="5" s="1"/>
  <c r="O85" i="5"/>
  <c r="J85" i="5"/>
  <c r="X85" i="5"/>
  <c r="L85" i="5"/>
  <c r="Y85" i="5"/>
  <c r="N85" i="5"/>
  <c r="P85" i="5"/>
  <c r="G78" i="5"/>
  <c r="P78" i="5"/>
  <c r="Y78" i="5"/>
  <c r="K78" i="5"/>
  <c r="S78" i="5"/>
  <c r="C78" i="5"/>
  <c r="N78" i="5"/>
  <c r="E78" i="5"/>
  <c r="Q78" i="5"/>
  <c r="AC78" i="5"/>
  <c r="F78" i="5"/>
  <c r="R78" i="5"/>
  <c r="I78" i="5"/>
  <c r="U78" i="5"/>
  <c r="J78" i="5"/>
  <c r="V78" i="5"/>
  <c r="L78" i="5"/>
  <c r="W78" i="5"/>
  <c r="AB78" i="5" s="1"/>
  <c r="M78" i="5"/>
  <c r="X78" i="5"/>
  <c r="AA78" i="5"/>
  <c r="D78" i="5"/>
  <c r="O78" i="5"/>
  <c r="I59" i="5"/>
  <c r="J59" i="5" s="1"/>
  <c r="AA59" i="5"/>
  <c r="K59" i="5"/>
  <c r="S59" i="5"/>
  <c r="V59" i="5"/>
  <c r="C59" i="5"/>
  <c r="N59" i="5"/>
  <c r="R59" i="5" s="1"/>
  <c r="P59" i="5"/>
  <c r="U59" i="5"/>
  <c r="Z59" i="5" s="1"/>
  <c r="W59" i="5"/>
  <c r="AB59" i="5" s="1"/>
  <c r="E59" i="5"/>
  <c r="E61" i="5"/>
  <c r="N61" i="5"/>
  <c r="W61" i="5"/>
  <c r="AB61" i="5" s="1"/>
  <c r="G61" i="5"/>
  <c r="P61" i="5"/>
  <c r="Y61" i="5"/>
  <c r="I61" i="5"/>
  <c r="Q61" i="5"/>
  <c r="J61" i="5"/>
  <c r="R61" i="5"/>
  <c r="AA61" i="5"/>
  <c r="C61" i="5"/>
  <c r="L61" i="5"/>
  <c r="U61" i="5"/>
  <c r="S61" i="5"/>
  <c r="X61" i="5"/>
  <c r="D61" i="5"/>
  <c r="AC61" i="5"/>
  <c r="F61" i="5"/>
  <c r="K61" i="5"/>
  <c r="M61" i="5"/>
  <c r="O61" i="5"/>
  <c r="V61" i="5"/>
  <c r="D63" i="5"/>
  <c r="M63" i="5"/>
  <c r="V63" i="5"/>
  <c r="F63" i="5"/>
  <c r="O63" i="5"/>
  <c r="X63" i="5"/>
  <c r="G63" i="5"/>
  <c r="P63" i="5"/>
  <c r="Y63" i="5"/>
  <c r="I63" i="5"/>
  <c r="Q63" i="5"/>
  <c r="K63" i="5"/>
  <c r="S63" i="5"/>
  <c r="AC63" i="5"/>
  <c r="L63" i="5"/>
  <c r="R63" i="5"/>
  <c r="U63" i="5"/>
  <c r="W63" i="5"/>
  <c r="AB63" i="5" s="1"/>
  <c r="C63" i="5"/>
  <c r="AA63" i="5"/>
  <c r="E63" i="5"/>
  <c r="J63" i="5"/>
  <c r="N63" i="5"/>
  <c r="C66" i="5"/>
  <c r="L66" i="5"/>
  <c r="U66" i="5"/>
  <c r="AC66" i="5"/>
  <c r="E66" i="5"/>
  <c r="N66" i="5"/>
  <c r="W66" i="5"/>
  <c r="AB66" i="5" s="1"/>
  <c r="F66" i="5"/>
  <c r="O66" i="5"/>
  <c r="X66" i="5"/>
  <c r="G66" i="5"/>
  <c r="P66" i="5"/>
  <c r="Y66" i="5"/>
  <c r="J66" i="5"/>
  <c r="R66" i="5"/>
  <c r="AA66" i="5"/>
  <c r="I66" i="5"/>
  <c r="K66" i="5"/>
  <c r="M66" i="5"/>
  <c r="Q66" i="5"/>
  <c r="S66" i="5"/>
  <c r="V66" i="5"/>
  <c r="D66" i="5"/>
  <c r="K68" i="5"/>
  <c r="S68" i="5"/>
  <c r="D68" i="5"/>
  <c r="M68" i="5"/>
  <c r="V68" i="5"/>
  <c r="E68" i="5"/>
  <c r="N68" i="5"/>
  <c r="W68" i="5"/>
  <c r="AB68" i="5" s="1"/>
  <c r="F68" i="5"/>
  <c r="O68" i="5"/>
  <c r="X68" i="5"/>
  <c r="I68" i="5"/>
  <c r="Q68" i="5"/>
  <c r="R68" i="5"/>
  <c r="Y68" i="5"/>
  <c r="C68" i="5"/>
  <c r="AA68" i="5"/>
  <c r="G68" i="5"/>
  <c r="AC68" i="5"/>
  <c r="J68" i="5"/>
  <c r="L68" i="5"/>
  <c r="P68" i="5"/>
  <c r="U68" i="5"/>
  <c r="E62" i="5"/>
  <c r="N62" i="5"/>
  <c r="W62" i="5"/>
  <c r="AB62" i="5" s="1"/>
  <c r="G62" i="5"/>
  <c r="P62" i="5"/>
  <c r="Y62" i="5"/>
  <c r="I62" i="5"/>
  <c r="Q62" i="5"/>
  <c r="J62" i="5"/>
  <c r="R62" i="5"/>
  <c r="AA62" i="5"/>
  <c r="C62" i="5"/>
  <c r="L62" i="5"/>
  <c r="U62" i="5"/>
  <c r="AC62" i="5"/>
  <c r="O62" i="5"/>
  <c r="V62" i="5"/>
  <c r="X62" i="5"/>
  <c r="D62" i="5"/>
  <c r="F62" i="5"/>
  <c r="K62" i="5"/>
  <c r="M62" i="5"/>
  <c r="S62" i="5"/>
  <c r="F75" i="5"/>
  <c r="O75" i="5"/>
  <c r="X75" i="5"/>
  <c r="I75" i="5"/>
  <c r="Q75" i="5"/>
  <c r="J75" i="5"/>
  <c r="R75" i="5"/>
  <c r="AA75" i="5"/>
  <c r="K75" i="5"/>
  <c r="S75" i="5"/>
  <c r="D75" i="5"/>
  <c r="M75" i="5"/>
  <c r="V75" i="5"/>
  <c r="P75" i="5"/>
  <c r="W75" i="5"/>
  <c r="AB75" i="5" s="1"/>
  <c r="Y75" i="5"/>
  <c r="C75" i="5"/>
  <c r="E75" i="5"/>
  <c r="AC75" i="5"/>
  <c r="G75" i="5"/>
  <c r="L75" i="5"/>
  <c r="N75" i="5"/>
  <c r="U75" i="5"/>
  <c r="F79" i="5"/>
  <c r="O79" i="5"/>
  <c r="X79" i="5"/>
  <c r="J79" i="5"/>
  <c r="R79" i="5"/>
  <c r="AA79" i="5"/>
  <c r="K79" i="5"/>
  <c r="V79" i="5"/>
  <c r="M79" i="5"/>
  <c r="Y79" i="5"/>
  <c r="C79" i="5"/>
  <c r="N79" i="5"/>
  <c r="D79" i="5"/>
  <c r="P79" i="5"/>
  <c r="AC79" i="5"/>
  <c r="E79" i="5"/>
  <c r="Q79" i="5"/>
  <c r="G79" i="5"/>
  <c r="S79" i="5"/>
  <c r="I79" i="5"/>
  <c r="U79" i="5"/>
  <c r="W79" i="5"/>
  <c r="AB79" i="5" s="1"/>
  <c r="L79" i="5"/>
  <c r="E81" i="5"/>
  <c r="N81" i="5"/>
  <c r="I81" i="5"/>
  <c r="Q81" i="5"/>
  <c r="C81" i="5"/>
  <c r="O81" i="5"/>
  <c r="F81" i="5"/>
  <c r="R81" i="5"/>
  <c r="AC81" i="5"/>
  <c r="G81" i="5"/>
  <c r="S81" i="5"/>
  <c r="J81" i="5"/>
  <c r="U81" i="5"/>
  <c r="L81" i="5"/>
  <c r="W81" i="5"/>
  <c r="AB81" i="5" s="1"/>
  <c r="P81" i="5"/>
  <c r="K81" i="5"/>
  <c r="M81" i="5"/>
  <c r="V81" i="5"/>
  <c r="X81" i="5"/>
  <c r="Y81" i="5"/>
  <c r="AA81" i="5"/>
  <c r="D81" i="5"/>
  <c r="P58" i="5"/>
  <c r="AA58" i="5"/>
  <c r="K58" i="5"/>
  <c r="S58" i="5"/>
  <c r="C58" i="5"/>
  <c r="D58" i="5" s="1"/>
  <c r="U58" i="5"/>
  <c r="Z58" i="5" s="1"/>
  <c r="E58" i="5"/>
  <c r="N58" i="5"/>
  <c r="R58" i="5" s="1"/>
  <c r="W58" i="5"/>
  <c r="AB58" i="5" s="1"/>
  <c r="V58" i="5"/>
  <c r="I58" i="5"/>
  <c r="J58" i="5" s="1"/>
  <c r="G73" i="5"/>
  <c r="P73" i="5"/>
  <c r="Y73" i="5"/>
  <c r="J73" i="5"/>
  <c r="R73" i="5"/>
  <c r="AA73" i="5"/>
  <c r="K73" i="5"/>
  <c r="S73" i="5"/>
  <c r="AC73" i="5"/>
  <c r="C73" i="5"/>
  <c r="L73" i="5"/>
  <c r="U73" i="5"/>
  <c r="E73" i="5"/>
  <c r="N73" i="5"/>
  <c r="W73" i="5"/>
  <c r="AB73" i="5" s="1"/>
  <c r="X73" i="5"/>
  <c r="F73" i="5"/>
  <c r="I73" i="5"/>
  <c r="M73" i="5"/>
  <c r="O73" i="5"/>
  <c r="Q73" i="5"/>
  <c r="V73" i="5"/>
  <c r="D73" i="5"/>
  <c r="K67" i="5"/>
  <c r="S67" i="5"/>
  <c r="AC67" i="5"/>
  <c r="D67" i="5"/>
  <c r="M67" i="5"/>
  <c r="V67" i="5"/>
  <c r="E67" i="5"/>
  <c r="N67" i="5"/>
  <c r="W67" i="5"/>
  <c r="AB67" i="5" s="1"/>
  <c r="F67" i="5"/>
  <c r="O67" i="5"/>
  <c r="X67" i="5"/>
  <c r="I67" i="5"/>
  <c r="Q67" i="5"/>
  <c r="U67" i="5"/>
  <c r="C67" i="5"/>
  <c r="AA67" i="5"/>
  <c r="G67" i="5"/>
  <c r="J67" i="5"/>
  <c r="L67" i="5"/>
  <c r="P67" i="5"/>
  <c r="R67" i="5"/>
  <c r="Y67" i="5"/>
  <c r="J69" i="5"/>
  <c r="R69" i="5"/>
  <c r="AA69" i="5"/>
  <c r="C69" i="5"/>
  <c r="L69" i="5"/>
  <c r="U69" i="5"/>
  <c r="D69" i="5"/>
  <c r="M69" i="5"/>
  <c r="V69" i="5"/>
  <c r="E69" i="5"/>
  <c r="N69" i="5"/>
  <c r="W69" i="5"/>
  <c r="AB69" i="5" s="1"/>
  <c r="G69" i="5"/>
  <c r="P69" i="5"/>
  <c r="Y69" i="5"/>
  <c r="O69" i="5"/>
  <c r="S69" i="5"/>
  <c r="X69" i="5"/>
  <c r="F69" i="5"/>
  <c r="AC69" i="5"/>
  <c r="I69" i="5"/>
  <c r="K69" i="5"/>
  <c r="Q69" i="5"/>
  <c r="I71" i="5"/>
  <c r="Q71" i="5"/>
  <c r="K71" i="5"/>
  <c r="S71" i="5"/>
  <c r="AC71" i="5"/>
  <c r="C71" i="5"/>
  <c r="L71" i="5"/>
  <c r="U71" i="5"/>
  <c r="D71" i="5"/>
  <c r="M71" i="5"/>
  <c r="V71" i="5"/>
  <c r="F71" i="5"/>
  <c r="O71" i="5"/>
  <c r="X71" i="5"/>
  <c r="G71" i="5"/>
  <c r="N71" i="5"/>
  <c r="P71" i="5"/>
  <c r="R71" i="5"/>
  <c r="W71" i="5"/>
  <c r="AB71" i="5" s="1"/>
  <c r="Y71" i="5"/>
  <c r="E71" i="5"/>
  <c r="AA71" i="5"/>
  <c r="J71" i="5"/>
  <c r="G74" i="5"/>
  <c r="P74" i="5"/>
  <c r="Y74" i="5"/>
  <c r="J74" i="5"/>
  <c r="R74" i="5"/>
  <c r="AA74" i="5"/>
  <c r="K74" i="5"/>
  <c r="S74" i="5"/>
  <c r="C74" i="5"/>
  <c r="L74" i="5"/>
  <c r="U74" i="5"/>
  <c r="AC74" i="5"/>
  <c r="E74" i="5"/>
  <c r="N74" i="5"/>
  <c r="W74" i="5"/>
  <c r="AB74" i="5" s="1"/>
  <c r="V74" i="5"/>
  <c r="D74" i="5"/>
  <c r="F74" i="5"/>
  <c r="I74" i="5"/>
  <c r="M74" i="5"/>
  <c r="O74" i="5"/>
  <c r="Q74" i="5"/>
  <c r="X74" i="5"/>
  <c r="J84" i="5"/>
  <c r="R84" i="5"/>
  <c r="AA84" i="5"/>
  <c r="C84" i="5"/>
  <c r="L84" i="5"/>
  <c r="U84" i="5"/>
  <c r="AC84" i="5"/>
  <c r="E84" i="5"/>
  <c r="N84" i="5"/>
  <c r="W84" i="5"/>
  <c r="AB84" i="5" s="1"/>
  <c r="D84" i="5"/>
  <c r="Q84" i="5"/>
  <c r="O84" i="5"/>
  <c r="F84" i="5"/>
  <c r="S84" i="5"/>
  <c r="G84" i="5"/>
  <c r="V84" i="5"/>
  <c r="M84" i="5"/>
  <c r="P84" i="5"/>
  <c r="I84" i="5"/>
  <c r="X84" i="5"/>
  <c r="K84" i="5"/>
  <c r="Y84" i="5"/>
  <c r="J70" i="5"/>
  <c r="R70" i="5"/>
  <c r="AA70" i="5"/>
  <c r="C70" i="5"/>
  <c r="L70" i="5"/>
  <c r="U70" i="5"/>
  <c r="AC70" i="5"/>
  <c r="D70" i="5"/>
  <c r="M70" i="5"/>
  <c r="V70" i="5"/>
  <c r="E70" i="5"/>
  <c r="N70" i="5"/>
  <c r="W70" i="5"/>
  <c r="AB70" i="5" s="1"/>
  <c r="G70" i="5"/>
  <c r="P70" i="5"/>
  <c r="Y70" i="5"/>
  <c r="K70" i="5"/>
  <c r="Q70" i="5"/>
  <c r="S70" i="5"/>
  <c r="X70" i="5"/>
  <c r="F70" i="5"/>
  <c r="I70" i="5"/>
  <c r="O70" i="5"/>
  <c r="K83" i="5"/>
  <c r="S83" i="5"/>
  <c r="C83" i="5"/>
  <c r="D83" i="5"/>
  <c r="M83" i="5"/>
  <c r="V83" i="5"/>
  <c r="F83" i="5"/>
  <c r="O83" i="5"/>
  <c r="X83" i="5"/>
  <c r="Q83" i="5"/>
  <c r="N83" i="5"/>
  <c r="P83" i="5"/>
  <c r="E83" i="5"/>
  <c r="R83" i="5"/>
  <c r="G83" i="5"/>
  <c r="U83" i="5"/>
  <c r="L83" i="5"/>
  <c r="AA83" i="5"/>
  <c r="I83" i="5"/>
  <c r="W83" i="5"/>
  <c r="AB83" i="5" s="1"/>
  <c r="J83" i="5"/>
  <c r="Y83" i="5"/>
  <c r="AC83" i="5"/>
  <c r="I60" i="5"/>
  <c r="L60" i="5" s="1"/>
  <c r="AA60" i="5"/>
  <c r="K60" i="5"/>
  <c r="S60" i="5"/>
  <c r="W60" i="5"/>
  <c r="AB60" i="5" s="1"/>
  <c r="E60" i="5"/>
  <c r="N60" i="5"/>
  <c r="O60" i="5" s="1"/>
  <c r="P60" i="5"/>
  <c r="C60" i="5"/>
  <c r="C65" i="5"/>
  <c r="L65" i="5"/>
  <c r="U65" i="5"/>
  <c r="E65" i="5"/>
  <c r="N65" i="5"/>
  <c r="W65" i="5"/>
  <c r="AB65" i="5" s="1"/>
  <c r="F65" i="5"/>
  <c r="O65" i="5"/>
  <c r="X65" i="5"/>
  <c r="G65" i="5"/>
  <c r="P65" i="5"/>
  <c r="Y65" i="5"/>
  <c r="J65" i="5"/>
  <c r="R65" i="5"/>
  <c r="AA65" i="5"/>
  <c r="D65" i="5"/>
  <c r="AC65" i="5"/>
  <c r="K65" i="5"/>
  <c r="M65" i="5"/>
  <c r="Q65" i="5"/>
  <c r="S65" i="5"/>
  <c r="V65" i="5"/>
  <c r="I65" i="5"/>
  <c r="D64" i="5"/>
  <c r="M64" i="5"/>
  <c r="V64" i="5"/>
  <c r="F64" i="5"/>
  <c r="O64" i="5"/>
  <c r="X64" i="5"/>
  <c r="G64" i="5"/>
  <c r="P64" i="5"/>
  <c r="Y64" i="5"/>
  <c r="I64" i="5"/>
  <c r="Q64" i="5"/>
  <c r="K64" i="5"/>
  <c r="S64" i="5"/>
  <c r="J64" i="5"/>
  <c r="N64" i="5"/>
  <c r="R64" i="5"/>
  <c r="U64" i="5"/>
  <c r="W64" i="5"/>
  <c r="AB64" i="5" s="1"/>
  <c r="C64" i="5"/>
  <c r="AA64" i="5"/>
  <c r="E64" i="5"/>
  <c r="AC64" i="5"/>
  <c r="L64" i="5"/>
  <c r="A56" i="5"/>
  <c r="I12" i="5"/>
  <c r="P57" i="5"/>
  <c r="AA57" i="5"/>
  <c r="K57" i="5"/>
  <c r="S57" i="5"/>
  <c r="C57" i="5"/>
  <c r="U57" i="5"/>
  <c r="Z57" i="5" s="1"/>
  <c r="E57" i="5"/>
  <c r="N57" i="5"/>
  <c r="R57" i="5" s="1"/>
  <c r="W57" i="5"/>
  <c r="AB57" i="5" s="1"/>
  <c r="I57" i="5"/>
  <c r="J57" i="5" s="1"/>
  <c r="V57" i="5"/>
  <c r="F80" i="5"/>
  <c r="O80" i="5"/>
  <c r="X80" i="5"/>
  <c r="J80" i="5"/>
  <c r="R80" i="5"/>
  <c r="AA80" i="5"/>
  <c r="G80" i="5"/>
  <c r="S80" i="5"/>
  <c r="K80" i="5"/>
  <c r="V80" i="5"/>
  <c r="L80" i="5"/>
  <c r="W80" i="5"/>
  <c r="AB80" i="5" s="1"/>
  <c r="M80" i="5"/>
  <c r="Y80" i="5"/>
  <c r="C80" i="5"/>
  <c r="D80" i="5"/>
  <c r="P80" i="5"/>
  <c r="E80" i="5"/>
  <c r="Q80" i="5"/>
  <c r="I80" i="5"/>
  <c r="N80" i="5"/>
  <c r="U80" i="5"/>
  <c r="AC80" i="5"/>
  <c r="P6" i="5"/>
  <c r="J6" i="5"/>
  <c r="G6" i="5"/>
  <c r="A8" i="4"/>
  <c r="A7" i="4"/>
  <c r="Y58" i="5" l="1"/>
  <c r="X58" i="5"/>
  <c r="X57" i="5"/>
  <c r="X59" i="5"/>
  <c r="M59" i="5"/>
  <c r="D60" i="5"/>
  <c r="F60" i="5" s="1"/>
  <c r="G60" i="5" s="1"/>
  <c r="R60" i="5"/>
  <c r="J60" i="5"/>
  <c r="M60" i="5"/>
  <c r="Q60" i="5"/>
  <c r="D59" i="5"/>
  <c r="F59" i="5" s="1"/>
  <c r="G59" i="5" s="1"/>
  <c r="L59" i="5"/>
  <c r="O59" i="5"/>
  <c r="Q59" i="5"/>
  <c r="AC59" i="5"/>
  <c r="Y59" i="5"/>
  <c r="O58" i="5"/>
  <c r="L58" i="5"/>
  <c r="Q58" i="5"/>
  <c r="M58" i="5"/>
  <c r="F58" i="5"/>
  <c r="G58" i="5" s="1"/>
  <c r="L57" i="5"/>
  <c r="Q57" i="5"/>
  <c r="O57" i="5"/>
  <c r="M57" i="5"/>
  <c r="D57" i="5"/>
  <c r="F57" i="5" s="1"/>
  <c r="G57" i="5" s="1"/>
  <c r="AC57" i="5"/>
  <c r="Y57" i="5"/>
  <c r="L9" i="5"/>
  <c r="J9" i="5"/>
  <c r="I56" i="5"/>
  <c r="L56" i="5" s="1"/>
  <c r="K56" i="5"/>
  <c r="S56" i="5"/>
  <c r="C56" i="5"/>
  <c r="D56" i="5" s="1"/>
  <c r="N56" i="5"/>
  <c r="Q56" i="5" s="1"/>
  <c r="W56" i="5"/>
  <c r="AB56" i="5" s="1"/>
  <c r="AA56" i="5"/>
  <c r="P56" i="5"/>
  <c r="E3" i="4"/>
  <c r="G3" i="4" s="1"/>
  <c r="A33" i="1"/>
  <c r="C33" i="1" s="1"/>
  <c r="A39" i="1"/>
  <c r="A32" i="1"/>
  <c r="B35" i="1"/>
  <c r="C35" i="1" s="1"/>
  <c r="E40" i="1"/>
  <c r="W13" i="3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K13" i="1"/>
  <c r="H13" i="1"/>
  <c r="D17" i="3"/>
  <c r="K18" i="3"/>
  <c r="D16" i="3"/>
  <c r="H14" i="1" s="1"/>
  <c r="AC58" i="5" l="1"/>
  <c r="R56" i="5"/>
  <c r="M56" i="5"/>
  <c r="J56" i="5"/>
  <c r="O56" i="5"/>
  <c r="F56" i="5"/>
  <c r="G56" i="5" s="1"/>
  <c r="C32" i="1"/>
  <c r="E32" i="1" s="1"/>
  <c r="G32" i="1" s="1"/>
  <c r="E33" i="1"/>
  <c r="G33" i="1" s="1"/>
  <c r="E35" i="1"/>
  <c r="G35" i="1" s="1"/>
  <c r="C15" i="1"/>
  <c r="A15" i="1"/>
  <c r="A14" i="1"/>
  <c r="H22" i="3"/>
  <c r="H23" i="3"/>
  <c r="H24" i="3"/>
  <c r="H25" i="3"/>
  <c r="H26" i="3"/>
  <c r="H27" i="3"/>
  <c r="H28" i="3"/>
  <c r="H29" i="3"/>
  <c r="H30" i="3"/>
  <c r="H31" i="3"/>
  <c r="H21" i="3"/>
  <c r="E15" i="1"/>
  <c r="E9" i="1"/>
  <c r="E8" i="1"/>
  <c r="E7" i="1"/>
  <c r="R4" i="3"/>
  <c r="S4" i="3" s="1"/>
  <c r="T4" i="3" s="1"/>
  <c r="U4" i="3" s="1"/>
  <c r="V4" i="3" s="1"/>
  <c r="K6" i="1"/>
  <c r="B4" i="3"/>
  <c r="C4" i="3" s="1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H6" i="1"/>
  <c r="O6" i="3"/>
  <c r="O7" i="3" s="1"/>
  <c r="O8" i="3" s="1"/>
  <c r="O9" i="3" s="1"/>
  <c r="O10" i="3" s="1"/>
  <c r="N6" i="3"/>
  <c r="N7" i="3" s="1"/>
  <c r="N8" i="3" s="1"/>
  <c r="N9" i="3" s="1"/>
  <c r="N10" i="3" s="1"/>
  <c r="M6" i="3"/>
  <c r="M7" i="3" s="1"/>
  <c r="M8" i="3" s="1"/>
  <c r="M9" i="3" s="1"/>
  <c r="M10" i="3" s="1"/>
  <c r="L6" i="3"/>
  <c r="L7" i="3" s="1"/>
  <c r="L8" i="3" s="1"/>
  <c r="L9" i="3" s="1"/>
  <c r="L10" i="3" s="1"/>
  <c r="K6" i="3"/>
  <c r="K7" i="3" s="1"/>
  <c r="K8" i="3" s="1"/>
  <c r="K9" i="3" s="1"/>
  <c r="K10" i="3" s="1"/>
  <c r="J6" i="3"/>
  <c r="J7" i="3" s="1"/>
  <c r="J8" i="3" s="1"/>
  <c r="J9" i="3" s="1"/>
  <c r="J10" i="3" s="1"/>
  <c r="H7" i="1" l="1"/>
  <c r="K9" i="1"/>
  <c r="H16" i="1"/>
  <c r="H9" i="1"/>
  <c r="A11" i="5" l="1"/>
  <c r="M11" i="5" s="1"/>
  <c r="A55" i="5" l="1"/>
  <c r="Y6" i="5"/>
  <c r="W55" i="5" l="1"/>
  <c r="AB55" i="5" s="1"/>
  <c r="AA55" i="5"/>
  <c r="N55" i="5"/>
  <c r="S55" i="5"/>
  <c r="C55" i="5"/>
  <c r="D55" i="5" s="1"/>
  <c r="K55" i="5"/>
  <c r="U55" i="5"/>
  <c r="Z55" i="5" s="1"/>
  <c r="V55" i="5"/>
  <c r="I55" i="5"/>
  <c r="J55" i="5" s="1"/>
  <c r="L55" i="5" s="1"/>
  <c r="P55" i="5"/>
  <c r="M55" i="5" l="1"/>
  <c r="AC55" i="5"/>
  <c r="Y55" i="5"/>
  <c r="O55" i="5"/>
  <c r="Q55" i="5" s="1"/>
  <c r="R55" i="5" s="1"/>
  <c r="F55" i="5"/>
  <c r="G55" i="5" s="1"/>
  <c r="X55" i="5"/>
  <c r="C39" i="1"/>
  <c r="A40" i="1" l="1"/>
  <c r="U56" i="5"/>
  <c r="Z56" i="5" s="1"/>
  <c r="Y56" i="5" l="1"/>
  <c r="AC56" i="5"/>
  <c r="Z60" i="5"/>
  <c r="Y60" i="5" l="1"/>
  <c r="AC60" i="5"/>
</calcChain>
</file>

<file path=xl/sharedStrings.xml><?xml version="1.0" encoding="utf-8"?>
<sst xmlns="http://schemas.openxmlformats.org/spreadsheetml/2006/main" count="220" uniqueCount="147">
  <si>
    <t>БЕТОН-БЕТОН-БЕТОН-БЕТОН-БЕТОН-БЕТОН-БЕТОН-БЕТОН-БЕТОН-БЕТОН-БЕТОН-БЕТОН-БЕТОН-БЕТОН-БЕТОН-БЕТОН-БЕТОН-БЕТОН-БЕТОН</t>
  </si>
  <si>
    <t>C20/25</t>
  </si>
  <si>
    <t>C30/37</t>
  </si>
  <si>
    <t>C35/45</t>
  </si>
  <si>
    <t>C40/50</t>
  </si>
  <si>
    <t>C45/55</t>
  </si>
  <si>
    <t>fck</t>
  </si>
  <si>
    <t>fck,cube</t>
  </si>
  <si>
    <t>fcm</t>
  </si>
  <si>
    <t>fctm</t>
  </si>
  <si>
    <t>fctk,0.05</t>
  </si>
  <si>
    <t>fctk,0.95</t>
  </si>
  <si>
    <t>Ecm</t>
  </si>
  <si>
    <t>εc1</t>
  </si>
  <si>
    <t>n</t>
  </si>
  <si>
    <t>εcu1</t>
  </si>
  <si>
    <t>εc2</t>
  </si>
  <si>
    <t>εcu2</t>
  </si>
  <si>
    <t>εc3</t>
  </si>
  <si>
    <t>εcu3</t>
  </si>
  <si>
    <t>C25/30</t>
  </si>
  <si>
    <t>[MPa]</t>
  </si>
  <si>
    <t>[GPa]</t>
  </si>
  <si>
    <t>[‰]</t>
  </si>
  <si>
    <r>
      <t>α</t>
    </r>
    <r>
      <rPr>
        <vertAlign val="subscript"/>
        <sz val="11"/>
        <color theme="1"/>
        <rFont val="Calibri"/>
        <family val="2"/>
        <charset val="204"/>
      </rPr>
      <t>cc</t>
    </r>
    <r>
      <rPr>
        <sz val="11"/>
        <color theme="1"/>
        <rFont val="Calibri"/>
        <family val="2"/>
        <charset val="204"/>
      </rPr>
      <t>:</t>
    </r>
  </si>
  <si>
    <r>
      <t>γ</t>
    </r>
    <r>
      <rPr>
        <vertAlign val="subscript"/>
        <sz val="11"/>
        <color theme="1"/>
        <rFont val="Calibri"/>
        <family val="2"/>
        <charset val="204"/>
      </rPr>
      <t>c</t>
    </r>
    <r>
      <rPr>
        <sz val="11"/>
        <color theme="1"/>
        <rFont val="Calibri"/>
        <family val="2"/>
        <charset val="204"/>
      </rPr>
      <t>: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</si>
  <si>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</si>
  <si>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-[kNm]:</t>
    </r>
  </si>
  <si>
    <r>
      <rPr>
        <b/>
        <sz val="11"/>
        <color theme="1"/>
        <rFont val="Calibri"/>
        <family val="2"/>
        <charset val="204"/>
        <scheme val="minor"/>
      </rPr>
      <t>V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</si>
  <si>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T</t>
    </r>
    <r>
      <rPr>
        <sz val="11"/>
        <color theme="1"/>
        <rFont val="Calibri"/>
        <family val="2"/>
        <charset val="204"/>
        <scheme val="minor"/>
      </rPr>
      <t>-[kN]:</t>
    </r>
  </si>
  <si>
    <r>
      <rPr>
        <b/>
        <sz val="11"/>
        <color theme="1"/>
        <rFont val="Calibri"/>
        <family val="2"/>
        <charset val="204"/>
        <scheme val="minor"/>
      </rPr>
      <t>fck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</si>
  <si>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εcu</t>
    </r>
    <r>
      <rPr>
        <sz val="11"/>
        <color theme="1"/>
        <rFont val="Calibri"/>
        <family val="2"/>
        <charset val="204"/>
      </rPr>
      <t>[‰]:</t>
    </r>
  </si>
  <si>
    <r>
      <rPr>
        <b/>
        <sz val="11"/>
        <color theme="1"/>
        <rFont val="Calibri"/>
        <family val="2"/>
        <charset val="204"/>
        <scheme val="minor"/>
      </rPr>
      <t>fcd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</si>
  <si>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fctm</t>
    </r>
    <r>
      <rPr>
        <sz val="11"/>
        <color theme="1"/>
        <rFont val="Calibri"/>
        <family val="2"/>
        <charset val="204"/>
        <scheme val="minor"/>
      </rPr>
      <t>[MPa]:</t>
    </r>
  </si>
  <si>
    <r>
      <t>α</t>
    </r>
    <r>
      <rPr>
        <vertAlign val="subscript"/>
        <sz val="11"/>
        <color theme="1"/>
        <rFont val="Calibri"/>
        <family val="2"/>
        <charset val="204"/>
      </rPr>
      <t>ct</t>
    </r>
    <r>
      <rPr>
        <sz val="11"/>
        <color theme="1"/>
        <rFont val="Calibri"/>
        <family val="2"/>
        <charset val="204"/>
      </rPr>
      <t>:</t>
    </r>
  </si>
  <si>
    <t>ACC</t>
  </si>
  <si>
    <t>SPEC</t>
  </si>
  <si>
    <t>Състояние</t>
  </si>
  <si>
    <t>αcc</t>
  </si>
  <si>
    <t>γc</t>
  </si>
  <si>
    <t>αct</t>
  </si>
  <si>
    <t>Perm/Var</t>
  </si>
  <si>
    <t>B500</t>
  </si>
  <si>
    <t>Вид</t>
  </si>
  <si>
    <t>fyk</t>
  </si>
  <si>
    <t>Es</t>
  </si>
  <si>
    <t>εud</t>
  </si>
  <si>
    <t>СТОМАНА--СТОМАНАС-СТОМАНА-СТОМАНАТ-СТОМАНА-СТОМАНА-СТОМАНА</t>
  </si>
  <si>
    <t>Клас по ДУКТИЛНОСТ</t>
  </si>
  <si>
    <t>A</t>
  </si>
  <si>
    <t>B</t>
  </si>
  <si>
    <t>C</t>
  </si>
  <si>
    <t>k=fck/fyk</t>
  </si>
  <si>
    <t>&gt;=</t>
  </si>
  <si>
    <r>
      <t>εuk</t>
    </r>
    <r>
      <rPr>
        <sz val="11"/>
        <color theme="1"/>
        <rFont val="Calibri"/>
        <family val="2"/>
        <charset val="204"/>
      </rPr>
      <t>[‰]</t>
    </r>
  </si>
  <si>
    <t>fact_for_εuk</t>
  </si>
  <si>
    <r>
      <rPr>
        <b/>
        <sz val="11"/>
        <color theme="1"/>
        <rFont val="Calibri"/>
        <family val="2"/>
        <charset val="204"/>
        <scheme val="minor"/>
      </rPr>
      <t>fyk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</si>
  <si>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</rPr>
      <t>εud</t>
    </r>
    <r>
      <rPr>
        <sz val="11"/>
        <color theme="1"/>
        <rFont val="Calibri"/>
        <family val="2"/>
        <charset val="204"/>
      </rPr>
      <t>[‰]:</t>
    </r>
  </si>
  <si>
    <r>
      <t>γ</t>
    </r>
    <r>
      <rPr>
        <vertAlign val="subscript"/>
        <sz val="11"/>
        <color theme="1"/>
        <rFont val="Calibri"/>
        <family val="2"/>
        <charset val="204"/>
      </rPr>
      <t>s</t>
    </r>
    <r>
      <rPr>
        <sz val="11"/>
        <color theme="1"/>
        <rFont val="Calibri"/>
        <family val="2"/>
        <charset val="204"/>
      </rPr>
      <t>:</t>
    </r>
  </si>
  <si>
    <t>Коефициенти при ULS</t>
  </si>
  <si>
    <t>γs</t>
  </si>
  <si>
    <r>
      <rPr>
        <b/>
        <sz val="11"/>
        <color theme="1"/>
        <rFont val="Calibri"/>
        <family val="2"/>
        <charset val="204"/>
        <scheme val="minor"/>
      </rPr>
      <t>fyd</t>
    </r>
    <r>
      <rPr>
        <sz val="11"/>
        <color theme="1"/>
        <rFont val="Calibri"/>
        <family val="2"/>
        <charset val="204"/>
        <scheme val="minor"/>
      </rPr>
      <t>[MPa]:</t>
    </r>
  </si>
  <si>
    <t>Φ</t>
  </si>
  <si>
    <t>A1</t>
  </si>
  <si>
    <r>
      <rPr>
        <b/>
        <sz val="11"/>
        <color theme="1"/>
        <rFont val="Calibri"/>
        <family val="2"/>
        <charset val="204"/>
        <scheme val="minor"/>
      </rPr>
      <t>cov</t>
    </r>
    <r>
      <rPr>
        <sz val="11"/>
        <color theme="1"/>
        <rFont val="Calibri"/>
        <family val="2"/>
        <charset val="204"/>
        <scheme val="minor"/>
      </rPr>
      <t>[cm]:</t>
    </r>
  </si>
  <si>
    <t>reinf:</t>
  </si>
  <si>
    <t>type:</t>
  </si>
  <si>
    <t>crossection type</t>
  </si>
  <si>
    <t>rec</t>
  </si>
  <si>
    <t>cir</t>
  </si>
  <si>
    <t>manual</t>
  </si>
  <si>
    <t>B400</t>
  </si>
  <si>
    <t>Cross-secton:</t>
  </si>
  <si>
    <t>Steel:</t>
  </si>
  <si>
    <t>Duct.:</t>
  </si>
  <si>
    <t>Concrete:</t>
  </si>
  <si>
    <t>Concrete</t>
  </si>
  <si>
    <t>Materials</t>
  </si>
  <si>
    <t>Case:</t>
  </si>
  <si>
    <t>Rectangular cross</t>
  </si>
  <si>
    <t>Influence:</t>
  </si>
  <si>
    <t>Version:</t>
  </si>
  <si>
    <t>Check ULS according to EC 2</t>
  </si>
  <si>
    <t>Project:</t>
  </si>
  <si>
    <t>Reinforcement</t>
  </si>
  <si>
    <t>Situation:</t>
  </si>
  <si>
    <r>
      <t xml:space="preserve">Force </t>
    </r>
    <r>
      <rPr>
        <b/>
        <vertAlign val="subscript"/>
        <sz val="11"/>
        <color theme="1"/>
        <rFont val="Calibri"/>
        <family val="2"/>
        <charset val="204"/>
        <scheme val="minor"/>
      </rPr>
      <t>ED</t>
    </r>
  </si>
  <si>
    <r>
      <rPr>
        <b/>
        <sz val="11"/>
        <color theme="1"/>
        <rFont val="Calibri"/>
        <family val="2"/>
        <charset val="204"/>
        <scheme val="minor"/>
      </rPr>
      <t>Es</t>
    </r>
    <r>
      <rPr>
        <sz val="11"/>
        <color theme="1"/>
        <rFont val="Calibri"/>
        <family val="2"/>
        <charset val="204"/>
        <scheme val="minor"/>
      </rPr>
      <t>[GPa]:</t>
    </r>
  </si>
  <si>
    <r>
      <rPr>
        <b/>
        <sz val="11"/>
        <color theme="1"/>
        <rFont val="Calibri"/>
        <family val="2"/>
        <charset val="204"/>
        <scheme val="minor"/>
      </rPr>
      <t>fctd</t>
    </r>
    <r>
      <rPr>
        <sz val="11"/>
        <color theme="1"/>
        <rFont val="Calibri"/>
        <family val="2"/>
        <charset val="204"/>
        <scheme val="minor"/>
      </rPr>
      <t>[MPa]:</t>
    </r>
  </si>
  <si>
    <r>
      <rPr>
        <b/>
        <sz val="11"/>
        <color theme="1"/>
        <rFont val="Calibri"/>
        <family val="2"/>
        <charset val="204"/>
        <scheme val="minor"/>
      </rPr>
      <t>long</t>
    </r>
    <r>
      <rPr>
        <sz val="11"/>
        <color theme="1"/>
        <rFont val="Calibri"/>
        <family val="2"/>
        <charset val="204"/>
        <scheme val="minor"/>
      </rPr>
      <t>[dia]:</t>
    </r>
  </si>
  <si>
    <r>
      <rPr>
        <b/>
        <sz val="11"/>
        <color theme="1"/>
        <rFont val="Calibri"/>
        <family val="2"/>
        <charset val="204"/>
        <scheme val="minor"/>
      </rPr>
      <t>cross</t>
    </r>
    <r>
      <rPr>
        <sz val="11"/>
        <color theme="1"/>
        <rFont val="Calibri"/>
        <family val="2"/>
        <charset val="204"/>
        <scheme val="minor"/>
      </rPr>
      <t>[dia]:</t>
    </r>
  </si>
  <si>
    <t>Attention</t>
  </si>
  <si>
    <t>reinforcement RESULTS:</t>
  </si>
  <si>
    <t>Notes:</t>
  </si>
  <si>
    <t>Bending</t>
  </si>
  <si>
    <t>Shear</t>
  </si>
  <si>
    <t>Torsion</t>
  </si>
  <si>
    <t>Single bending, shear, torsion</t>
  </si>
  <si>
    <t>брой пръти</t>
  </si>
  <si>
    <t>dia
[mm]</t>
  </si>
  <si>
    <t>n
[pcs]</t>
  </si>
  <si>
    <t>cl_space
[cm]</t>
  </si>
  <si>
    <t>s
[cm]</t>
  </si>
  <si>
    <t>Longitudinal reinforcement</t>
  </si>
  <si>
    <t>Transverse reinforcement</t>
  </si>
  <si>
    <r>
      <t>longitudinal-As1[cm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</si>
  <si>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</si>
  <si>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shearing cross-Аsw[cm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</si>
  <si>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t>longitudinal-Ast_12[cm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</si>
  <si>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longitudinal-Ast_lr[cm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</si>
  <si>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t>torsin cross-Aswt[cm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</si>
  <si>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стреме</t>
  </si>
  <si>
    <t>tot</t>
  </si>
  <si>
    <t>Project</t>
  </si>
  <si>
    <r>
      <rPr>
        <b/>
        <sz val="11"/>
        <color theme="1"/>
        <rFont val="Calibri"/>
        <family val="2"/>
        <charset val="204"/>
        <scheme val="minor"/>
      </rPr>
      <t xml:space="preserve">M
</t>
    </r>
    <r>
      <rPr>
        <sz val="11"/>
        <color theme="1"/>
        <rFont val="Calibri"/>
        <family val="2"/>
        <charset val="204"/>
        <scheme val="minor"/>
      </rPr>
      <t>[kNm]</t>
    </r>
  </si>
  <si>
    <r>
      <rPr>
        <b/>
        <sz val="11"/>
        <color theme="1"/>
        <rFont val="Calibri"/>
        <family val="2"/>
        <charset val="204"/>
        <scheme val="minor"/>
      </rPr>
      <t xml:space="preserve">V
</t>
    </r>
    <r>
      <rPr>
        <sz val="11"/>
        <color theme="1"/>
        <rFont val="Calibri"/>
        <family val="2"/>
        <charset val="204"/>
        <scheme val="minor"/>
      </rPr>
      <t>[kN]</t>
    </r>
  </si>
  <si>
    <r>
      <rPr>
        <b/>
        <sz val="11"/>
        <color theme="1"/>
        <rFont val="Calibri"/>
        <family val="2"/>
        <charset val="204"/>
        <scheme val="minor"/>
      </rPr>
      <t xml:space="preserve">T
</t>
    </r>
    <r>
      <rPr>
        <sz val="11"/>
        <color theme="1"/>
        <rFont val="Calibri"/>
        <family val="2"/>
        <charset val="204"/>
        <scheme val="minor"/>
      </rPr>
      <t>[kN]</t>
    </r>
  </si>
  <si>
    <r>
      <rPr>
        <b/>
        <sz val="11"/>
        <color theme="1"/>
        <rFont val="Calibri"/>
        <family val="2"/>
        <charset val="204"/>
        <scheme val="minor"/>
      </rPr>
      <t xml:space="preserve">N
</t>
    </r>
    <r>
      <rPr>
        <sz val="11"/>
        <color theme="1"/>
        <rFont val="Calibri"/>
        <family val="2"/>
        <charset val="204"/>
        <scheme val="minor"/>
      </rPr>
      <t>[kN]</t>
    </r>
  </si>
  <si>
    <t>Cross-secton</t>
  </si>
  <si>
    <t>type</t>
  </si>
  <si>
    <t>start diameter of reinforcement</t>
  </si>
  <si>
    <t>cov
[cm]</t>
  </si>
  <si>
    <t>reinforcement RESULTS</t>
  </si>
  <si>
    <r>
      <rPr>
        <b/>
        <sz val="11"/>
        <color theme="1"/>
        <rFont val="Calibri"/>
        <family val="2"/>
        <charset val="204"/>
        <scheme val="minor"/>
      </rPr>
      <t>As1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</si>
  <si>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As2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</si>
  <si>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Аsw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</si>
  <si>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r>
      <rPr>
        <b/>
        <sz val="11"/>
        <color theme="1"/>
        <rFont val="Calibri"/>
        <family val="2"/>
        <charset val="204"/>
        <scheme val="minor"/>
      </rPr>
      <t>Ast_12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</si>
  <si>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>Ast_lr</t>
    </r>
    <r>
      <rPr>
        <sz val="11"/>
        <color theme="1"/>
        <rFont val="Calibri"/>
        <family val="2"/>
        <charset val="204"/>
        <scheme val="minor"/>
      </rPr>
      <t xml:space="preserve">
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]</t>
    </r>
  </si>
  <si>
    <r>
      <rPr>
        <b/>
        <sz val="11"/>
        <color theme="1"/>
        <rFont val="Calibri"/>
        <family val="2"/>
        <charset val="204"/>
        <scheme val="minor"/>
      </rPr>
      <t xml:space="preserve">Aswt
</t>
    </r>
    <r>
      <rPr>
        <sz val="11"/>
        <color theme="1"/>
        <rFont val="Calibri"/>
        <family val="2"/>
        <charset val="204"/>
        <scheme val="minor"/>
      </rPr>
      <t>[cm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/m]</t>
    </r>
  </si>
  <si>
    <t>reinforcement REINFORCED</t>
  </si>
  <si>
    <t>longitudinal</t>
  </si>
  <si>
    <t>transverse</t>
  </si>
  <si>
    <r>
      <rPr>
        <b/>
        <sz val="11"/>
        <color theme="1"/>
        <rFont val="Calibri"/>
        <family val="2"/>
        <charset val="204"/>
        <scheme val="minor"/>
      </rPr>
      <t>dia</t>
    </r>
    <r>
      <rPr>
        <sz val="11"/>
        <color theme="1"/>
        <rFont val="Calibri"/>
        <family val="2"/>
        <charset val="204"/>
        <scheme val="minor"/>
      </rPr>
      <t xml:space="preserve">
[mm]</t>
    </r>
  </si>
  <si>
    <r>
      <rPr>
        <b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 xml:space="preserve">
[pcs]</t>
    </r>
  </si>
  <si>
    <r>
      <rPr>
        <b/>
        <sz val="11"/>
        <color theme="1"/>
        <rFont val="Calibri"/>
        <family val="2"/>
        <charset val="204"/>
        <scheme val="minor"/>
      </rPr>
      <t>cl_space</t>
    </r>
    <r>
      <rPr>
        <sz val="11"/>
        <color theme="1"/>
        <rFont val="Calibri"/>
        <family val="2"/>
        <charset val="204"/>
        <scheme val="minor"/>
      </rPr>
      <t xml:space="preserve">
[cm]</t>
    </r>
  </si>
  <si>
    <r>
      <rPr>
        <b/>
        <sz val="11"/>
        <color theme="1"/>
        <rFont val="Calibri"/>
        <family val="2"/>
        <charset val="204"/>
        <scheme val="minor"/>
      </rPr>
      <t>s</t>
    </r>
    <r>
      <rPr>
        <sz val="11"/>
        <color theme="1"/>
        <rFont val="Calibri"/>
        <family val="2"/>
        <charset val="204"/>
        <scheme val="minor"/>
      </rPr>
      <t xml:space="preserve">
[cm]</t>
    </r>
  </si>
  <si>
    <t>#</t>
  </si>
  <si>
    <t>Name</t>
  </si>
  <si>
    <t>NoDataValidation</t>
  </si>
  <si>
    <t>Type
Of
Load</t>
  </si>
  <si>
    <t>Affected rows:</t>
  </si>
  <si>
    <t>UpM</t>
  </si>
  <si>
    <t>UpE</t>
  </si>
  <si>
    <t>UpWa</t>
  </si>
  <si>
    <t>DoWa</t>
  </si>
  <si>
    <t>DpM</t>
  </si>
  <si>
    <t>DpE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</si>
</sst>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000000000000000000"/>
    <numFmt numFmtId="166" formatCode="0.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sz val="7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  <xf numFmtId="0" fontId="0" fillId="0" borderId="6" xfId="0" applyBorder="1"/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" borderId="9" xfId="0" applyFill="1" applyBorder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left" vertical="top"/>
    </xf>
    <xf numFmtId="0" fontId="0" fillId="0" borderId="0" xfId="0" applyBorder="1" applyAlignment="1">
      <alignment horizontal="right"/>
    </xf>
    <xf numFmtId="2" fontId="0" fillId="0" borderId="0" xfId="0" applyNumberFormat="1" applyBorder="1"/>
    <xf numFmtId="2" fontId="0" fillId="0" borderId="5" xfId="0" applyNumberFormat="1" applyBorder="1"/>
    <xf numFmtId="0" fontId="2" fillId="0" borderId="4" xfId="0" applyFont="1" applyBorder="1" applyAlignment="1">
      <alignment horizontal="right"/>
    </xf>
    <xf numFmtId="2" fontId="0" fillId="0" borderId="0" xfId="0" applyNumberFormat="1" applyFill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4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2" fontId="0" fillId="0" borderId="11" xfId="0" applyNumberFormat="1" applyFill="1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right"/>
    </xf>
    <xf numFmtId="2" fontId="0" fillId="0" borderId="11" xfId="0" applyNumberFormat="1" applyBorder="1"/>
    <xf numFmtId="0" fontId="2" fillId="0" borderId="14" xfId="0" applyFont="1" applyBorder="1" applyAlignment="1">
      <alignment horizontal="right"/>
    </xf>
    <xf numFmtId="2" fontId="0" fillId="0" borderId="15" xfId="0" applyNumberFormat="1" applyBorder="1" applyAlignment="1"/>
    <xf numFmtId="0" fontId="0" fillId="2" borderId="8" xfId="0" applyFill="1" applyBorder="1" applyAlignment="1">
      <alignment horizontal="center"/>
    </xf>
    <xf numFmtId="49" fontId="1" fillId="0" borderId="0" xfId="0" applyNumberFormat="1" applyFont="1"/>
    <xf numFmtId="0" fontId="0" fillId="0" borderId="16" xfId="0" applyBorder="1"/>
    <xf numFmtId="0" fontId="0" fillId="0" borderId="17" xfId="0" applyBorder="1"/>
    <xf numFmtId="22" fontId="0" fillId="0" borderId="0" xfId="0" applyNumberFormat="1" applyBorder="1"/>
    <xf numFmtId="22" fontId="0" fillId="0" borderId="18" xfId="0" applyNumberFormat="1" applyBorder="1"/>
    <xf numFmtId="0" fontId="2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0" fillId="0" borderId="5" xfId="0" applyFill="1" applyBorder="1"/>
    <xf numFmtId="0" fontId="0" fillId="0" borderId="8" xfId="0" applyFill="1" applyBorder="1"/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/>
    <xf numFmtId="0" fontId="0" fillId="0" borderId="6" xfId="0" applyBorder="1" applyAlignment="1">
      <alignment horizontal="center"/>
    </xf>
    <xf numFmtId="164" fontId="0" fillId="0" borderId="8" xfId="0" applyNumberFormat="1" applyBorder="1"/>
    <xf numFmtId="0" fontId="0" fillId="0" borderId="20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2" borderId="21" xfId="0" applyFill="1" applyBorder="1"/>
    <xf numFmtId="0" fontId="0" fillId="2" borderId="23" xfId="0" applyFill="1" applyBorder="1"/>
    <xf numFmtId="22" fontId="0" fillId="0" borderId="17" xfId="0" applyNumberFormat="1" applyBorder="1"/>
    <xf numFmtId="0" fontId="0" fillId="0" borderId="0" xfId="0" applyAlignment="1">
      <alignment horizontal="center" vertical="center" wrapText="1"/>
    </xf>
    <xf numFmtId="2" fontId="0" fillId="2" borderId="25" xfId="0" applyNumberFormat="1" applyFill="1" applyBorder="1"/>
    <xf numFmtId="0" fontId="0" fillId="2" borderId="24" xfId="0" applyFill="1" applyBorder="1" applyAlignment="1">
      <alignment horizontal="center" vertical="center" wrapText="1"/>
    </xf>
    <xf numFmtId="0" fontId="7" fillId="0" borderId="0" xfId="0" applyFont="1"/>
    <xf numFmtId="0" fontId="9" fillId="0" borderId="0" xfId="0" applyFont="1"/>
    <xf numFmtId="2" fontId="0" fillId="0" borderId="0" xfId="0" applyNumberFormat="1"/>
    <xf numFmtId="49" fontId="0" fillId="0" borderId="0" xfId="0" applyNumberFormat="1"/>
    <xf numFmtId="0" fontId="1" fillId="0" borderId="6" xfId="0" applyFont="1" applyBorder="1"/>
    <xf numFmtId="0" fontId="1" fillId="0" borderId="0" xfId="0" applyFont="1" applyAlignment="1">
      <alignment horizontal="right" wrapText="1"/>
    </xf>
    <xf numFmtId="2" fontId="0" fillId="0" borderId="0" xfId="0" applyNumberFormat="1" applyBorder="1" applyAlignment="1"/>
    <xf numFmtId="0" fontId="0" fillId="2" borderId="0" xfId="0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vertical="center" textRotation="45" wrapText="1"/>
    </xf>
    <xf numFmtId="0" fontId="1" fillId="0" borderId="0" xfId="0" applyFont="1"/>
    <xf numFmtId="0" fontId="0" fillId="0" borderId="0" xfId="0" applyFont="1" applyBorder="1"/>
    <xf numFmtId="2" fontId="0" fillId="0" borderId="0" xfId="0" applyNumberFormat="1" applyFont="1" applyBorder="1" applyAlignment="1"/>
    <xf numFmtId="2" fontId="0" fillId="0" borderId="0" xfId="0" applyNumberFormat="1" applyFont="1" applyBorder="1"/>
    <xf numFmtId="0" fontId="0" fillId="0" borderId="11" xfId="0" applyFont="1" applyBorder="1"/>
    <xf numFmtId="2" fontId="0" fillId="0" borderId="11" xfId="0" applyNumberFormat="1" applyFont="1" applyBorder="1" applyAlignment="1"/>
    <xf numFmtId="0" fontId="0" fillId="0" borderId="5" xfId="0" applyFont="1" applyBorder="1"/>
    <xf numFmtId="0" fontId="0" fillId="0" borderId="4" xfId="0" applyFont="1" applyBorder="1" applyAlignment="1">
      <alignment horizontal="center" vertical="center"/>
    </xf>
    <xf numFmtId="0" fontId="0" fillId="0" borderId="10" xfId="0" applyFont="1" applyBorder="1"/>
    <xf numFmtId="2" fontId="0" fillId="0" borderId="10" xfId="0" applyNumberFormat="1" applyFont="1" applyBorder="1" applyAlignment="1"/>
    <xf numFmtId="165" fontId="0" fillId="0" borderId="0" xfId="0" applyNumberFormat="1"/>
    <xf numFmtId="0" fontId="0" fillId="0" borderId="0" xfId="0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13" xfId="0" applyFont="1" applyBorder="1"/>
    <xf numFmtId="0" fontId="0" fillId="0" borderId="15" xfId="0" applyFont="1" applyBorder="1"/>
    <xf numFmtId="0" fontId="0" fillId="0" borderId="7" xfId="0" applyFont="1" applyBorder="1"/>
    <xf numFmtId="0" fontId="0" fillId="0" borderId="7" xfId="0" applyFont="1" applyBorder="1" applyAlignment="1">
      <alignment horizontal="right"/>
    </xf>
    <xf numFmtId="2" fontId="0" fillId="0" borderId="7" xfId="0" applyNumberFormat="1" applyFont="1" applyBorder="1" applyAlignment="1"/>
    <xf numFmtId="0" fontId="0" fillId="0" borderId="8" xfId="0" applyFont="1" applyBorder="1"/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0" borderId="5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10" xfId="0" applyNumberFormat="1" applyBorder="1"/>
    <xf numFmtId="0" fontId="0" fillId="2" borderId="10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2" borderId="11" xfId="0" applyFill="1" applyBorder="1" applyAlignment="1">
      <alignment horizontal="center"/>
    </xf>
    <xf numFmtId="2" fontId="0" fillId="0" borderId="10" xfId="0" applyNumberFormat="1" applyBorder="1" applyAlignment="1">
      <alignment horizontal="right"/>
    </xf>
    <xf numFmtId="2" fontId="0" fillId="0" borderId="13" xfId="0" applyNumberFormat="1" applyBorder="1" applyAlignment="1">
      <alignment horizontal="center"/>
    </xf>
    <xf numFmtId="0" fontId="0" fillId="0" borderId="14" xfId="0" applyBorder="1"/>
    <xf numFmtId="2" fontId="0" fillId="0" borderId="15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2" fontId="0" fillId="2" borderId="10" xfId="0" applyNumberFormat="1" applyFill="1" applyBorder="1"/>
    <xf numFmtId="0" fontId="0" fillId="0" borderId="4" xfId="0" applyBorder="1" applyAlignment="1">
      <alignment horizontal="right"/>
    </xf>
    <xf numFmtId="0" fontId="2" fillId="0" borderId="6" xfId="0" applyFont="1" applyBorder="1" applyAlignment="1">
      <alignment horizontal="right"/>
    </xf>
    <xf numFmtId="2" fontId="0" fillId="0" borderId="7" xfId="0" applyNumberFormat="1" applyFill="1" applyBorder="1" applyAlignment="1">
      <alignment horizontal="left"/>
    </xf>
    <xf numFmtId="2" fontId="0" fillId="0" borderId="7" xfId="0" applyNumberFormat="1" applyBorder="1"/>
    <xf numFmtId="2" fontId="0" fillId="0" borderId="8" xfId="0" applyNumberFormat="1" applyBorder="1" applyAlignment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0" xfId="0" applyFill="1"/>
    <xf numFmtId="0" fontId="0" fillId="0" borderId="4" xfId="0" applyFill="1" applyBorder="1" applyAlignment="1">
      <alignment horizontal="right"/>
    </xf>
    <xf numFmtId="0" fontId="0" fillId="2" borderId="5" xfId="0" applyFill="1" applyBorder="1"/>
    <xf numFmtId="0" fontId="0" fillId="2" borderId="8" xfId="0" applyFill="1" applyBorder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7" fillId="3" borderId="0" xfId="0" applyFont="1" applyFill="1"/>
    <xf numFmtId="0" fontId="0" fillId="2" borderId="0" xfId="0" applyFill="1" applyBorder="1" applyAlignment="1">
      <alignment horizontal="center" vertical="center" wrapText="1"/>
    </xf>
    <xf numFmtId="2" fontId="0" fillId="4" borderId="0" xfId="0" applyNumberFormat="1" applyFill="1" applyBorder="1" applyAlignment="1">
      <alignment horizontal="right"/>
    </xf>
    <xf numFmtId="0" fontId="0" fillId="4" borderId="0" xfId="0" applyFill="1"/>
    <xf numFmtId="0" fontId="1" fillId="0" borderId="0" xfId="0" applyFont="1" applyBorder="1" applyAlignment="1">
      <alignment vertical="top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6" xfId="0" applyBorder="1" applyAlignment="1">
      <alignment horizontal="right"/>
    </xf>
    <xf numFmtId="0" fontId="0" fillId="2" borderId="18" xfId="0" applyFill="1" applyBorder="1" applyAlignment="1">
      <alignment horizontal="center"/>
    </xf>
    <xf numFmtId="22" fontId="0" fillId="0" borderId="0" xfId="0" applyNumberForma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Alignment="1">
      <alignment horizontal="left"/>
    </xf>
    <xf numFmtId="166" fontId="0" fillId="0" borderId="0" xfId="0" applyNumberFormat="1" applyFill="1" applyBorder="1"/>
    <xf numFmtId="0" fontId="0" fillId="0" borderId="30" xfId="0" applyBorder="1"/>
    <xf numFmtId="1" fontId="0" fillId="2" borderId="0" xfId="0" applyNumberFormat="1" applyFill="1" applyBorder="1"/>
    <xf numFmtId="2" fontId="0" fillId="0" borderId="0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vertical="center" textRotation="45" wrapText="1"/>
    </xf>
    <xf numFmtId="2" fontId="0" fillId="4" borderId="0" xfId="0" applyNumberFormat="1" applyFill="1"/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2" xfId="0" applyBorder="1" applyAlignment="1">
      <alignment horizontal="right"/>
    </xf>
    <xf numFmtId="0" fontId="0" fillId="0" borderId="10" xfId="0" applyBorder="1" applyAlignment="1"/>
    <xf numFmtId="0" fontId="0" fillId="0" borderId="4" xfId="0" applyBorder="1" applyAlignment="1">
      <alignment horizontal="right"/>
    </xf>
    <xf numFmtId="0" fontId="0" fillId="0" borderId="0" xfId="0" applyBorder="1" applyAlignment="1"/>
    <xf numFmtId="0" fontId="0" fillId="0" borderId="10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2" xfId="0" applyFont="1" applyBorder="1" applyAlignment="1">
      <alignment horizontal="center" vertical="center" textRotation="45" wrapText="1"/>
    </xf>
    <xf numFmtId="0" fontId="0" fillId="0" borderId="4" xfId="0" applyFont="1" applyBorder="1" applyAlignment="1">
      <alignment horizontal="center" vertical="center" textRotation="45" wrapText="1"/>
    </xf>
    <xf numFmtId="0" fontId="0" fillId="0" borderId="6" xfId="0" applyFont="1" applyBorder="1" applyAlignment="1">
      <alignment horizontal="center" vertical="center" textRotation="45" wrapText="1"/>
    </xf>
    <xf numFmtId="0" fontId="0" fillId="0" borderId="10" xfId="0" applyFont="1" applyBorder="1" applyAlignment="1"/>
    <xf numFmtId="0" fontId="0" fillId="0" borderId="11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" xfId="0" applyFont="1" applyBorder="1" applyAlignment="1">
      <alignment horizontal="center" wrapText="1"/>
    </xf>
    <xf numFmtId="0" fontId="0" fillId="0" borderId="2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0" xfId="0" applyFont="1" applyBorder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>
      <alignment horizontal="center" vertical="center" textRotation="45" wrapText="1"/>
    </xf>
    <xf numFmtId="0" fontId="1" fillId="0" borderId="0" xfId="0" applyFont="1" applyAlignment="1">
      <alignment horizontal="left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26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wrapText="1"/>
    </xf>
    <xf numFmtId="0" fontId="0" fillId="0" borderId="3" xfId="0" applyBorder="1" applyAlignment="1">
      <alignment wrapText="1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 applyBorder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wrapText="1"/>
    </xf>
    <xf numFmtId="0" fontId="0" fillId="0" borderId="13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115955</xdr:colOff>
      <xdr:row>31</xdr:row>
      <xdr:rowOff>148485</xdr:rowOff>
    </xdr:from>
    <xdr:to>
      <xdr:col>10</xdr:col>
      <xdr:colOff>364433</xdr:colOff>
      <xdr:row>38</xdr:row>
      <xdr:rowOff>137907</xdr:rowOff>
    </xdr:to>
    <xdr:pic>
      <xdr:nvPicPr>
        <xdr:cNvPr id="10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50194" y="6410137"/>
          <a:ext cx="1615109" cy="139746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23</xdr:row>
          <xdr:rowOff>7620</xdr:rowOff>
        </xdr:from>
        <xdr:to>
          <xdr:col>12</xdr:col>
          <xdr:colOff>1165860</xdr:colOff>
          <xdr:row>25</xdr:row>
          <xdr:rowOff>83820</xdr:rowOff>
        </xdr:to>
        <xdr:sp macro="" textlink="">
          <xdr:nvSpPr>
            <xdr:cNvPr id="1025" name="Calculate_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259080</xdr:colOff>
      <xdr:row>42</xdr:row>
      <xdr:rowOff>160020</xdr:rowOff>
    </xdr:from>
    <xdr:to>
      <xdr:col>8</xdr:col>
      <xdr:colOff>42738</xdr:colOff>
      <xdr:row>50</xdr:row>
      <xdr:rowOff>50382</xdr:rowOff>
    </xdr:to>
    <xdr:pic>
      <xdr:nvPicPr>
        <xdr:cNvPr id="2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90800" y="8199120"/>
          <a:ext cx="1642938" cy="1353402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137160</xdr:colOff>
      <xdr:row>42</xdr:row>
      <xdr:rowOff>144780</xdr:rowOff>
    </xdr:from>
    <xdr:to>
      <xdr:col>16</xdr:col>
      <xdr:colOff>560898</xdr:colOff>
      <xdr:row>50</xdr:row>
      <xdr:rowOff>35142</xdr:rowOff>
    </xdr:to>
    <xdr:pic>
      <xdr:nvPicPr>
        <xdr:cNvPr id="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01000" y="8183880"/>
          <a:ext cx="1642938" cy="1353402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327660</xdr:colOff>
      <xdr:row>42</xdr:row>
      <xdr:rowOff>99060</xdr:rowOff>
    </xdr:from>
    <xdr:to>
      <xdr:col>28</xdr:col>
      <xdr:colOff>378018</xdr:colOff>
      <xdr:row>49</xdr:row>
      <xdr:rowOff>172302</xdr:rowOff>
    </xdr:to>
    <xdr:pic>
      <xdr:nvPicPr>
        <xdr:cNvPr id="6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6080" y="8138160"/>
          <a:ext cx="1642938" cy="1353402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83820</xdr:colOff>
          <xdr:row>1</xdr:row>
          <xdr:rowOff>30480</xdr:rowOff>
        </xdr:from>
        <xdr:to>
          <xdr:col>23</xdr:col>
          <xdr:colOff>998220</xdr:colOff>
          <xdr:row>2</xdr:row>
          <xdr:rowOff>152400</xdr:rowOff>
        </xdr:to>
        <xdr:sp macro="" textlink="">
          <xdr:nvSpPr>
            <xdr:cNvPr id="2050" name="MultipleSection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0"/>
  <sheetViews>
    <sheetView view="pageBreakPreview" topLeftCell="A21" zoomScaleNormal="100" zoomScaleSheetLayoutView="100" workbookViewId="0">
      <selection activeCell="G40" sqref="G40"/>
    </sheetView>
  </sheetViews>
  <sheetFormatPr defaultRowHeight="14.4" x14ac:dyDescent="0.3"/>
  <cols>
    <col min="1" max="2" width="9.109375" customWidth="1"/>
    <col min="3" max="3" width="11.109375" bestFit="1" customWidth="1"/>
    <col min="5" max="5" width="9.6640625" customWidth="1"/>
    <col min="6" max="6" width="1.33203125" customWidth="1"/>
    <col min="7" max="7" width="9.109375" customWidth="1"/>
    <col min="8" max="8" width="7.88671875" customWidth="1"/>
    <col min="9" max="9" width="1.33203125" customWidth="1"/>
    <col min="10" max="10" width="11.109375" customWidth="1"/>
    <col min="11" max="11" width="7.88671875" customWidth="1"/>
    <col min="13" max="13" width="18.6640625" customWidth="1"/>
    <col min="16" max="16" width="28" customWidth="1"/>
  </cols>
  <sheetData>
    <row r="1" spans="1:16" x14ac:dyDescent="0.3">
      <c r="A1" s="186" t="s">
        <v>82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P1" t="s">
        <v>93</v>
      </c>
    </row>
    <row r="2" spans="1:16" ht="44.25" customHeight="1" x14ac:dyDescent="0.3">
      <c r="A2" s="92" t="s">
        <v>83</v>
      </c>
      <c r="B2" s="187" t="s">
        <v>113</v>
      </c>
      <c r="C2" s="188"/>
      <c r="D2" s="188"/>
      <c r="E2" s="188"/>
      <c r="F2" s="188"/>
      <c r="G2" s="188"/>
      <c r="H2" s="188"/>
      <c r="I2" s="188"/>
      <c r="J2" s="188"/>
      <c r="K2" s="188"/>
    </row>
    <row r="3" spans="1:16" ht="15" thickBot="1" x14ac:dyDescent="0.35">
      <c r="A3" s="29" t="s">
        <v>78</v>
      </c>
      <c r="B3" s="28" t="s">
        <v>79</v>
      </c>
      <c r="C3" s="28"/>
      <c r="D3" s="28" t="s">
        <v>80</v>
      </c>
      <c r="E3" s="28" t="s">
        <v>97</v>
      </c>
      <c r="F3" s="28"/>
      <c r="G3" s="28"/>
      <c r="H3" s="28"/>
      <c r="I3" s="28"/>
      <c r="J3" s="30" t="s">
        <v>81</v>
      </c>
      <c r="K3" s="31">
        <v>0</v>
      </c>
    </row>
    <row r="4" spans="1:16" ht="15" x14ac:dyDescent="0.35">
      <c r="A4" s="189" t="s">
        <v>86</v>
      </c>
      <c r="B4" s="190"/>
      <c r="C4" s="72" t="s">
        <v>91</v>
      </c>
      <c r="D4" s="189" t="s">
        <v>77</v>
      </c>
      <c r="E4" s="191"/>
      <c r="F4" s="191"/>
      <c r="G4" s="191"/>
      <c r="H4" s="191"/>
      <c r="I4" s="191"/>
      <c r="J4" s="191"/>
      <c r="K4" s="190"/>
    </row>
    <row r="5" spans="1:16" x14ac:dyDescent="0.3">
      <c r="A5" s="16" t="s">
        <v>26</v>
      </c>
      <c r="B5" s="17">
        <v>0</v>
      </c>
      <c r="D5" s="194" t="s">
        <v>76</v>
      </c>
      <c r="E5" s="195"/>
      <c r="F5" s="195"/>
      <c r="G5" s="195"/>
      <c r="H5" s="195"/>
      <c r="I5" s="195"/>
      <c r="J5" s="195"/>
      <c r="K5" s="196"/>
    </row>
    <row r="6" spans="1:16" x14ac:dyDescent="0.3">
      <c r="A6" s="16" t="s">
        <v>27</v>
      </c>
      <c r="B6" s="17">
        <v>235</v>
      </c>
      <c r="D6" s="16" t="s">
        <v>75</v>
      </c>
      <c r="E6" s="21" t="s">
        <v>20</v>
      </c>
      <c r="F6" s="4"/>
      <c r="G6" s="32" t="s">
        <v>30</v>
      </c>
      <c r="H6" s="33">
        <f>VLOOKUP(E6,DataTable!A5:O10,2,)</f>
        <v>25</v>
      </c>
      <c r="I6" s="33"/>
      <c r="J6" s="32" t="s">
        <v>33</v>
      </c>
      <c r="K6" s="34">
        <f>VLOOKUP(E6,DataTable!A5:O10,5,)</f>
        <v>2.6</v>
      </c>
    </row>
    <row r="7" spans="1:16" ht="15.6" x14ac:dyDescent="0.35">
      <c r="A7" s="16" t="s">
        <v>28</v>
      </c>
      <c r="B7" s="17">
        <v>425</v>
      </c>
      <c r="D7" s="35" t="s">
        <v>25</v>
      </c>
      <c r="E7" s="36">
        <f>VLOOKUP(STBP_SingleSection!B10,DataTable!R5:U7,2,)</f>
        <v>1.5</v>
      </c>
      <c r="F7" s="4"/>
      <c r="G7" s="37" t="s">
        <v>31</v>
      </c>
      <c r="H7" s="33">
        <f>VLOOKUP(E6,DataTable!A5:O10,10,)</f>
        <v>3.5</v>
      </c>
      <c r="I7" s="33"/>
      <c r="J7" s="4"/>
      <c r="K7" s="5"/>
    </row>
    <row r="8" spans="1:16" ht="15.6" x14ac:dyDescent="0.35">
      <c r="A8" s="16" t="s">
        <v>29</v>
      </c>
      <c r="B8" s="17">
        <v>0</v>
      </c>
      <c r="D8" s="35" t="s">
        <v>24</v>
      </c>
      <c r="E8" s="36">
        <f>VLOOKUP(STBP_SingleSection!B10,DataTable!R5:U7,3,)</f>
        <v>0.85</v>
      </c>
      <c r="F8" s="4"/>
      <c r="G8" s="4"/>
      <c r="H8" s="4"/>
      <c r="I8" s="4"/>
      <c r="J8" s="4"/>
      <c r="K8" s="5"/>
    </row>
    <row r="9" spans="1:16" ht="15.6" x14ac:dyDescent="0.35">
      <c r="A9" s="3"/>
      <c r="B9" s="5"/>
      <c r="D9" s="44" t="s">
        <v>34</v>
      </c>
      <c r="E9" s="40">
        <f>VLOOKUP(STBP_SingleSection!B10,DataTable!R5:U7,4,)</f>
        <v>1</v>
      </c>
      <c r="F9" s="41"/>
      <c r="G9" s="42" t="s">
        <v>32</v>
      </c>
      <c r="H9" s="43">
        <f>H6*E8/E7</f>
        <v>14.166666666666666</v>
      </c>
      <c r="I9" s="43"/>
      <c r="J9" s="42" t="s">
        <v>88</v>
      </c>
      <c r="K9" s="45">
        <f>VLOOKUP(E6,DataTable!A5:O10,6,)*E9/E7</f>
        <v>1.2</v>
      </c>
      <c r="M9" s="73"/>
      <c r="N9" s="73"/>
    </row>
    <row r="10" spans="1:16" ht="15" thickBot="1" x14ac:dyDescent="0.35">
      <c r="A10" s="75" t="s">
        <v>85</v>
      </c>
      <c r="B10" s="46" t="s">
        <v>41</v>
      </c>
      <c r="D10" s="3"/>
      <c r="E10" s="4"/>
      <c r="F10" s="4"/>
      <c r="G10" s="4"/>
      <c r="H10" s="4"/>
      <c r="I10" s="4"/>
      <c r="J10" s="4"/>
      <c r="K10" s="5"/>
    </row>
    <row r="11" spans="1:16" x14ac:dyDescent="0.3">
      <c r="A11" s="93"/>
      <c r="B11" s="47"/>
      <c r="D11" s="3"/>
      <c r="E11" s="4"/>
      <c r="F11" s="4"/>
      <c r="G11" s="4"/>
      <c r="H11" s="4"/>
      <c r="I11" s="4"/>
      <c r="J11" s="4"/>
      <c r="K11" s="5"/>
    </row>
    <row r="12" spans="1:16" x14ac:dyDescent="0.3">
      <c r="A12" s="197" t="s">
        <v>72</v>
      </c>
      <c r="B12" s="197"/>
      <c r="D12" s="194" t="s">
        <v>84</v>
      </c>
      <c r="E12" s="195"/>
      <c r="F12" s="195"/>
      <c r="G12" s="195"/>
      <c r="H12" s="195"/>
      <c r="I12" s="195"/>
      <c r="J12" s="195"/>
      <c r="K12" s="196"/>
    </row>
    <row r="13" spans="1:16" x14ac:dyDescent="0.3">
      <c r="A13" s="76" t="s">
        <v>66</v>
      </c>
      <c r="B13" s="70" t="s">
        <v>68</v>
      </c>
      <c r="D13" s="38" t="s">
        <v>73</v>
      </c>
      <c r="E13" s="27" t="s">
        <v>42</v>
      </c>
      <c r="F13" s="4"/>
      <c r="G13" s="32" t="s">
        <v>56</v>
      </c>
      <c r="H13" s="33">
        <f>VLOOKUP(E13,DataTable!A16:E17,2,)</f>
        <v>500</v>
      </c>
      <c r="I13" s="4"/>
      <c r="J13" s="32" t="s">
        <v>87</v>
      </c>
      <c r="K13" s="34">
        <f>VLOOKUP(E13,DataTable!A16:E17,3,)</f>
        <v>200</v>
      </c>
      <c r="M13" s="1"/>
    </row>
    <row r="14" spans="1:16" x14ac:dyDescent="0.3">
      <c r="A14" s="2" t="str">
        <f>IF(B13="rec","b[cm]","R[cm]")</f>
        <v>b[cm]</v>
      </c>
      <c r="B14" s="69">
        <v>100</v>
      </c>
      <c r="D14" s="38" t="s">
        <v>74</v>
      </c>
      <c r="E14" s="27" t="s">
        <v>70</v>
      </c>
      <c r="F14" s="4"/>
      <c r="G14" s="37" t="s">
        <v>57</v>
      </c>
      <c r="H14" s="4">
        <f>VLOOKUP(E13,DataTable!A16:E17,4,)</f>
        <v>25</v>
      </c>
      <c r="I14" s="4"/>
      <c r="J14" s="4"/>
      <c r="K14" s="5"/>
    </row>
    <row r="15" spans="1:16" ht="15.6" x14ac:dyDescent="0.35">
      <c r="A15" s="2" t="str">
        <f>IF(B13="rec","h[cm]","")</f>
        <v>h[cm]</v>
      </c>
      <c r="B15" s="69">
        <v>45</v>
      </c>
      <c r="C15" s="71" t="str">
        <f>IF(B13="cir","&lt;-remove","")</f>
        <v/>
      </c>
      <c r="D15" s="35" t="s">
        <v>58</v>
      </c>
      <c r="E15" s="4">
        <f>VLOOKUP(STBP_SingleSection!B10,DataTable!R5:V7,5,)</f>
        <v>1.1499999999999999</v>
      </c>
      <c r="F15" s="4"/>
      <c r="G15" s="4"/>
      <c r="H15" s="4"/>
      <c r="I15" s="4"/>
      <c r="J15" s="4"/>
      <c r="K15" s="5"/>
    </row>
    <row r="16" spans="1:16" ht="15" thickBot="1" x14ac:dyDescent="0.35">
      <c r="A16" s="2" t="s">
        <v>64</v>
      </c>
      <c r="B16" s="69">
        <v>5</v>
      </c>
      <c r="D16" s="13"/>
      <c r="E16" s="23"/>
      <c r="F16" s="23"/>
      <c r="G16" s="39" t="s">
        <v>61</v>
      </c>
      <c r="H16" s="23">
        <f>H13/E15</f>
        <v>434.78260869565219</v>
      </c>
      <c r="I16" s="23"/>
      <c r="J16" s="23"/>
      <c r="K16" s="24"/>
    </row>
    <row r="17" spans="1:16" ht="15" thickBot="1" x14ac:dyDescent="0.35">
      <c r="A17" s="192" t="s">
        <v>65</v>
      </c>
      <c r="B17" s="193"/>
    </row>
    <row r="18" spans="1:16" ht="15" customHeight="1" x14ac:dyDescent="0.3">
      <c r="A18" s="63" t="s">
        <v>89</v>
      </c>
      <c r="B18" s="65">
        <v>28</v>
      </c>
      <c r="D18" s="180" t="s">
        <v>92</v>
      </c>
      <c r="E18" s="181"/>
      <c r="F18" s="181"/>
      <c r="G18" s="181"/>
      <c r="H18" s="181"/>
      <c r="I18" s="181"/>
      <c r="J18" s="181"/>
      <c r="K18" s="182"/>
    </row>
    <row r="19" spans="1:16" ht="16.2" x14ac:dyDescent="0.3">
      <c r="A19" s="64" t="s">
        <v>90</v>
      </c>
      <c r="B19" s="66">
        <v>12</v>
      </c>
      <c r="D19" s="174" t="s">
        <v>94</v>
      </c>
      <c r="E19" s="165" t="s">
        <v>105</v>
      </c>
      <c r="F19" s="177"/>
      <c r="G19" s="177"/>
      <c r="H19" s="177"/>
      <c r="I19" s="89"/>
      <c r="J19" s="90">
        <v>14.88319205015037</v>
      </c>
      <c r="K19" s="94"/>
      <c r="L19" s="4"/>
      <c r="M19" s="4"/>
      <c r="N19" s="4"/>
      <c r="P19" s="91"/>
    </row>
    <row r="20" spans="1:16" ht="15" customHeight="1" x14ac:dyDescent="0.3">
      <c r="C20" s="74"/>
      <c r="D20" s="185"/>
      <c r="E20" s="178" t="s">
        <v>106</v>
      </c>
      <c r="F20" s="179"/>
      <c r="G20" s="179"/>
      <c r="H20" s="179"/>
      <c r="I20" s="85"/>
      <c r="J20" s="86">
        <v>0</v>
      </c>
      <c r="K20" s="95"/>
      <c r="L20" s="4"/>
      <c r="M20" s="4"/>
      <c r="N20" s="4"/>
    </row>
    <row r="21" spans="1:16" ht="5.25" customHeight="1" x14ac:dyDescent="0.3">
      <c r="D21" s="88"/>
      <c r="E21" s="84"/>
      <c r="F21" s="82"/>
      <c r="G21" s="82"/>
      <c r="H21" s="82"/>
      <c r="I21" s="82"/>
      <c r="J21" s="83"/>
      <c r="K21" s="87"/>
      <c r="L21" s="4"/>
      <c r="M21" s="4"/>
      <c r="N21" s="4"/>
    </row>
    <row r="22" spans="1:16" ht="16.8" thickBot="1" x14ac:dyDescent="0.35">
      <c r="D22" s="174" t="s">
        <v>95</v>
      </c>
      <c r="E22" s="165" t="s">
        <v>105</v>
      </c>
      <c r="F22" s="177"/>
      <c r="G22" s="177"/>
      <c r="H22" s="177"/>
      <c r="I22" s="89"/>
      <c r="J22" s="90">
        <v>7.3312499999999998</v>
      </c>
      <c r="K22" s="94"/>
      <c r="L22" s="4"/>
      <c r="M22" s="4"/>
      <c r="N22" s="4"/>
      <c r="P22" s="81"/>
    </row>
    <row r="23" spans="1:16" ht="16.2" x14ac:dyDescent="0.3">
      <c r="D23" s="185"/>
      <c r="E23" s="178" t="s">
        <v>107</v>
      </c>
      <c r="F23" s="179"/>
      <c r="G23" s="179"/>
      <c r="H23" s="179"/>
      <c r="I23" s="85"/>
      <c r="J23" s="86">
        <v>11.255037420840528</v>
      </c>
      <c r="K23" s="95"/>
      <c r="L23" s="4"/>
      <c r="M23" s="48"/>
      <c r="N23" s="4"/>
    </row>
    <row r="24" spans="1:16" x14ac:dyDescent="0.3">
      <c r="D24" s="88"/>
      <c r="E24" s="82"/>
      <c r="F24" s="82"/>
      <c r="G24" s="82"/>
      <c r="H24" s="82"/>
      <c r="I24" s="82"/>
      <c r="J24" s="83"/>
      <c r="K24" s="87"/>
      <c r="L24" s="4"/>
      <c r="M24" s="49"/>
      <c r="N24" s="4"/>
    </row>
    <row r="25" spans="1:16" ht="3.75" customHeight="1" x14ac:dyDescent="0.3">
      <c r="D25" s="88"/>
      <c r="E25" s="82"/>
      <c r="F25" s="82"/>
      <c r="G25" s="82"/>
      <c r="H25" s="82"/>
      <c r="I25" s="82"/>
      <c r="J25" s="83"/>
      <c r="K25" s="87"/>
      <c r="L25" s="4"/>
      <c r="M25" s="67"/>
      <c r="N25" s="50"/>
    </row>
    <row r="26" spans="1:16" ht="16.8" thickBot="1" x14ac:dyDescent="0.35">
      <c r="D26" s="174" t="s">
        <v>96</v>
      </c>
      <c r="E26" s="165" t="s">
        <v>108</v>
      </c>
      <c r="F26" s="177"/>
      <c r="G26" s="177"/>
      <c r="H26" s="177"/>
      <c r="I26" s="89"/>
      <c r="J26" s="90">
        <v>0</v>
      </c>
      <c r="K26" s="94"/>
      <c r="L26" s="4"/>
      <c r="M26" s="51">
        <v>43200.036041666666</v>
      </c>
      <c r="N26" s="4"/>
    </row>
    <row r="27" spans="1:16" ht="16.2" x14ac:dyDescent="0.3">
      <c r="D27" s="175"/>
      <c r="E27" s="183" t="s">
        <v>109</v>
      </c>
      <c r="F27" s="184"/>
      <c r="G27" s="184"/>
      <c r="H27" s="184"/>
      <c r="I27" s="82"/>
      <c r="J27" s="83">
        <v>0</v>
      </c>
      <c r="K27" s="87"/>
      <c r="L27" s="4"/>
      <c r="M27" s="4"/>
      <c r="N27" s="4"/>
    </row>
    <row r="28" spans="1:16" ht="16.8" thickBot="1" x14ac:dyDescent="0.35">
      <c r="D28" s="176"/>
      <c r="E28" s="96"/>
      <c r="F28" s="96"/>
      <c r="G28" s="96"/>
      <c r="H28" s="97" t="s">
        <v>110</v>
      </c>
      <c r="I28" s="96"/>
      <c r="J28" s="98">
        <v>0</v>
      </c>
      <c r="K28" s="99"/>
      <c r="L28" s="4"/>
      <c r="M28" s="4"/>
      <c r="N28" s="4"/>
    </row>
    <row r="29" spans="1:16" ht="15" thickBot="1" x14ac:dyDescent="0.35">
      <c r="D29" s="80"/>
      <c r="E29" s="4"/>
      <c r="F29" s="4"/>
      <c r="G29" s="4"/>
      <c r="H29" s="32"/>
      <c r="I29" s="4"/>
      <c r="J29" s="77"/>
      <c r="K29" s="4"/>
      <c r="L29" s="4"/>
      <c r="M29" s="4"/>
      <c r="N29" s="4"/>
    </row>
    <row r="30" spans="1:16" x14ac:dyDescent="0.3">
      <c r="A30" s="168" t="s">
        <v>103</v>
      </c>
      <c r="B30" s="169"/>
      <c r="C30" s="169"/>
      <c r="D30" s="169"/>
      <c r="E30" s="169"/>
      <c r="F30" s="169"/>
      <c r="G30" s="170"/>
    </row>
    <row r="31" spans="1:16" ht="32.25" customHeight="1" x14ac:dyDescent="0.3">
      <c r="A31" s="3"/>
      <c r="B31" s="4"/>
      <c r="C31" s="4"/>
      <c r="D31" s="100" t="s">
        <v>99</v>
      </c>
      <c r="E31" s="100" t="s">
        <v>100</v>
      </c>
      <c r="F31" s="4"/>
      <c r="G31" s="101" t="s">
        <v>101</v>
      </c>
    </row>
    <row r="32" spans="1:16" x14ac:dyDescent="0.3">
      <c r="A32" s="161" t="str">
        <f>IF(J19+J22+J26&gt;0,"As1[cm2]","-")</f>
        <v>As1[cm2]</v>
      </c>
      <c r="B32" s="162"/>
      <c r="C32" s="106">
        <f>IF(A32&lt;&gt;"-",J19+J22+J26,A32)</f>
        <v>22.214442050150371</v>
      </c>
      <c r="D32" s="107">
        <v>20</v>
      </c>
      <c r="E32" s="108">
        <f>IF(A32&lt;&gt;"-",ROUNDUP(C32/PI()/(D32/20)^2,0),A32)</f>
        <v>8</v>
      </c>
      <c r="F32" s="109"/>
      <c r="G32" s="112">
        <f>IF(A32&lt;&gt;"-",((B14-(B16+D39/10)*2)-E32*D32/10)/(E32-1),A32)</f>
        <v>10.228571428571428</v>
      </c>
    </row>
    <row r="33" spans="1:7" x14ac:dyDescent="0.3">
      <c r="A33" s="163" t="str">
        <f>IF(J20+J26&gt;0,"As2[cm2]","-")</f>
        <v>-</v>
      </c>
      <c r="B33" s="164"/>
      <c r="C33" s="33" t="str">
        <f>IF(A33&lt;&gt;"-",J20+J26,A33)</f>
        <v>-</v>
      </c>
      <c r="D33" s="78">
        <v>8</v>
      </c>
      <c r="E33" s="32" t="str">
        <f>IF(A33="-",A33,IF(ROUNDUP(C33/PI()/(D33/20)^2,0)=1,2,ROUNDUP(C33/PI()/(D33/20)^2,0)))</f>
        <v>-</v>
      </c>
      <c r="F33" s="4"/>
      <c r="G33" s="102" t="str">
        <f>IF(A33&lt;&gt;"-",((B14-(B16+D39/10)*2)-E33*D33/10)/(E33-1),A33)</f>
        <v>-</v>
      </c>
    </row>
    <row r="34" spans="1:7" ht="3.75" customHeight="1" x14ac:dyDescent="0.3">
      <c r="A34" s="3"/>
      <c r="B34" s="4"/>
      <c r="C34" s="4"/>
      <c r="D34" s="4"/>
      <c r="E34" s="32"/>
      <c r="F34" s="4"/>
      <c r="G34" s="5"/>
    </row>
    <row r="35" spans="1:7" x14ac:dyDescent="0.3">
      <c r="A35" s="113"/>
      <c r="B35" s="42" t="str">
        <f>IF(J27&gt;0,"As_side-lr[cm2]","-")</f>
        <v>-</v>
      </c>
      <c r="C35" s="43" t="str">
        <f>IF(B35&lt;&gt;"-",J27,"-")</f>
        <v>-</v>
      </c>
      <c r="D35" s="110">
        <v>8</v>
      </c>
      <c r="E35" s="42" t="str">
        <f>IF(B35&lt;&gt;"-",ROUNDUP(C35/PI()/(D35/20)^2,0),B35)</f>
        <v>-</v>
      </c>
      <c r="F35" s="41"/>
      <c r="G35" s="114" t="str">
        <f>IF(B35&lt;&gt;"-",((B15-(B16+D39/10)*2)-E35*D35/10)/(E35-1),B35)</f>
        <v>-</v>
      </c>
    </row>
    <row r="36" spans="1:7" x14ac:dyDescent="0.3">
      <c r="A36" s="3"/>
      <c r="B36" s="32"/>
      <c r="C36" s="33"/>
      <c r="D36" s="4"/>
      <c r="E36" s="32"/>
      <c r="F36" s="4"/>
      <c r="G36" s="102"/>
    </row>
    <row r="37" spans="1:7" x14ac:dyDescent="0.3">
      <c r="A37" s="171" t="s">
        <v>104</v>
      </c>
      <c r="B37" s="172"/>
      <c r="C37" s="172"/>
      <c r="D37" s="172"/>
      <c r="E37" s="172"/>
      <c r="F37" s="172"/>
      <c r="G37" s="173"/>
    </row>
    <row r="38" spans="1:7" ht="32.25" customHeight="1" x14ac:dyDescent="0.3">
      <c r="A38" s="3"/>
      <c r="B38" s="4"/>
      <c r="C38" s="4"/>
      <c r="D38" s="100" t="s">
        <v>99</v>
      </c>
      <c r="E38" s="100" t="s">
        <v>102</v>
      </c>
      <c r="F38" s="4"/>
      <c r="G38" s="101" t="s">
        <v>100</v>
      </c>
    </row>
    <row r="39" spans="1:7" x14ac:dyDescent="0.3">
      <c r="A39" s="161" t="str">
        <f>IF(J28+J23&gt;0,"Asw_loop[cm2/m]","-")</f>
        <v>Asw_loop[cm2/m]</v>
      </c>
      <c r="B39" s="165"/>
      <c r="C39" s="111">
        <f>IF(J23&gt;0,G39*100/E39*PI()*(D39/20)^2,"-")</f>
        <v>16.964600329384879</v>
      </c>
      <c r="D39" s="107">
        <v>12</v>
      </c>
      <c r="E39" s="107">
        <v>20</v>
      </c>
      <c r="F39" s="109"/>
      <c r="G39" s="158">
        <v>3</v>
      </c>
    </row>
    <row r="40" spans="1:7" ht="15" thickBot="1" x14ac:dyDescent="0.35">
      <c r="A40" s="166" t="str">
        <f>IF(C40="-","-","Asw_in[cm2/m]")</f>
        <v>-</v>
      </c>
      <c r="B40" s="167"/>
      <c r="C40" s="14" t="str">
        <f>IF(C39&gt;J23+J28,"-",J23+J28-C39)</f>
        <v>-</v>
      </c>
      <c r="D40" s="103">
        <v>8</v>
      </c>
      <c r="E40" s="104">
        <f>E39</f>
        <v>20</v>
      </c>
      <c r="F40" s="23"/>
      <c r="G40" s="105" t="str">
        <f>IF(C40="-","-",IF(ROUNDUP(C40/PI()/(D40/20)^2,0)=1,2,ROUNDUP(C40/PI()/(D40/20)^2,0)))</f>
        <v>-</v>
      </c>
    </row>
  </sheetData>
  <dataConsolidate/>
  <mergeCells count="24">
    <mergeCell ref="A1:K1"/>
    <mergeCell ref="B2:K2"/>
    <mergeCell ref="A4:B4"/>
    <mergeCell ref="D4:K4"/>
    <mergeCell ref="A17:B17"/>
    <mergeCell ref="D5:K5"/>
    <mergeCell ref="D12:K12"/>
    <mergeCell ref="A12:B12"/>
    <mergeCell ref="D26:D28"/>
    <mergeCell ref="E22:H22"/>
    <mergeCell ref="E23:H23"/>
    <mergeCell ref="D18:K18"/>
    <mergeCell ref="E27:H27"/>
    <mergeCell ref="E26:H26"/>
    <mergeCell ref="D19:D20"/>
    <mergeCell ref="D22:D23"/>
    <mergeCell ref="E19:H19"/>
    <mergeCell ref="E20:H20"/>
    <mergeCell ref="A32:B32"/>
    <mergeCell ref="A33:B33"/>
    <mergeCell ref="A39:B39"/>
    <mergeCell ref="A40:B40"/>
    <mergeCell ref="A30:G30"/>
    <mergeCell ref="A37:G37"/>
  </mergeCells>
  <dataValidations count="6">
    <dataValidation type="list" allowBlank="1" showInputMessage="1" showErrorMessage="1" sqref="D39:D40 B18:B19 D32:D33 D35">
      <formula1>SteelDiam</formula1>
    </dataValidation>
    <dataValidation type="list" allowBlank="1" showInputMessage="1" showErrorMessage="1" prompt="Steel" sqref="E13">
      <formula1>steel2</formula1>
    </dataValidation>
    <dataValidation type="list" allowBlank="1" showInputMessage="1" showErrorMessage="1" prompt="ductility2" sqref="E14">
      <formula1>ductility2</formula1>
    </dataValidation>
    <dataValidation type="list" allowBlank="1" showInputMessage="1" showErrorMessage="1" prompt="Ситуация" sqref="B10">
      <formula1>ULS_Coef</formula1>
    </dataValidation>
    <dataValidation type="list" allowBlank="1" showInputMessage="1" showErrorMessage="1" prompt="Concrete" sqref="E6:F6">
      <formula1>Beton</formula1>
    </dataValidation>
    <dataValidation type="list" allowBlank="1" showInputMessage="1" showErrorMessage="1" prompt="CrossType" sqref="B13">
      <formula1>CrossType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_Button">
          <controlPr autoLine="0" r:id="rId5">
            <anchor moveWithCells="1">
              <from>
                <xdr:col>12</xdr:col>
                <xdr:colOff>83820</xdr:colOff>
                <xdr:row>23</xdr:row>
                <xdr:rowOff>7620</xdr:rowOff>
              </from>
              <to>
                <xdr:col>12</xdr:col>
                <xdr:colOff>1165860</xdr:colOff>
                <xdr:row>25</xdr:row>
                <xdr:rowOff>83820</xdr:rowOff>
              </to>
            </anchor>
          </controlPr>
        </control>
      </mc:Choice>
      <mc:Fallback>
        <control shapeId="1025" r:id="rId4" name="Calculate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86"/>
  <sheetViews>
    <sheetView tabSelected="1" topLeftCell="A45" workbookViewId="0">
      <selection activeCell="N64" sqref="N63:N64"/>
    </sheetView>
  </sheetViews>
  <sheetFormatPr defaultRowHeight="14.4" x14ac:dyDescent="0.3"/>
  <cols>
    <col min="1" max="1" width="4.6640625" customWidth="1"/>
    <col min="2" max="3" width="9.109375" customWidth="1"/>
    <col min="4" max="4" width="11.109375" bestFit="1" customWidth="1"/>
    <col min="6" max="6" width="9.6640625" customWidth="1"/>
    <col min="7" max="7" width="6.21875" bestFit="1" customWidth="1"/>
    <col min="8" max="8" width="2.33203125" customWidth="1"/>
    <col min="9" max="9" width="7.88671875" customWidth="1"/>
    <col min="10" max="10" width="8.21875" customWidth="1"/>
    <col min="11" max="11" width="5.44140625" bestFit="1" customWidth="1"/>
    <col min="12" max="12" width="7.88671875" customWidth="1"/>
    <col min="13" max="13" width="7" bestFit="1" customWidth="1"/>
    <col min="14" max="14" width="13.77734375" bestFit="1" customWidth="1"/>
    <col min="15" max="15" width="8.88671875" customWidth="1"/>
    <col min="19" max="19" width="16.21875" bestFit="1" customWidth="1"/>
    <col min="20" max="20" width="0.33203125" customWidth="1"/>
    <col min="21" max="21" width="9.5546875" bestFit="1" customWidth="1"/>
    <col min="22" max="22" width="5.44140625" bestFit="1" customWidth="1"/>
    <col min="24" max="24" width="15.6640625" customWidth="1"/>
    <col min="25" max="25" width="14.44140625" customWidth="1"/>
    <col min="27" max="27" width="5.44140625" customWidth="1"/>
  </cols>
  <sheetData>
    <row r="1" spans="1:25" ht="30" customHeight="1" thickBot="1" x14ac:dyDescent="0.35">
      <c r="B1" s="199" t="s">
        <v>139</v>
      </c>
      <c r="C1" s="201" t="s">
        <v>77</v>
      </c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3"/>
      <c r="T1" s="3"/>
      <c r="U1" s="204" t="s">
        <v>120</v>
      </c>
      <c r="V1" s="205"/>
      <c r="X1" s="148"/>
    </row>
    <row r="2" spans="1:25" x14ac:dyDescent="0.3">
      <c r="B2" s="200"/>
      <c r="C2" s="168" t="s">
        <v>76</v>
      </c>
      <c r="D2" s="169"/>
      <c r="E2" s="169"/>
      <c r="F2" s="169"/>
      <c r="G2" s="169"/>
      <c r="H2" s="169"/>
      <c r="I2" s="169"/>
      <c r="J2" s="170"/>
      <c r="K2" s="4"/>
      <c r="L2" s="168" t="s">
        <v>84</v>
      </c>
      <c r="M2" s="169"/>
      <c r="N2" s="169"/>
      <c r="O2" s="169"/>
      <c r="P2" s="169"/>
      <c r="Q2" s="169"/>
      <c r="R2" s="169"/>
      <c r="S2" s="170"/>
      <c r="T2" s="3"/>
      <c r="U2" s="128" t="s">
        <v>89</v>
      </c>
      <c r="V2" s="129">
        <v>28</v>
      </c>
      <c r="W2" s="153"/>
      <c r="X2" s="149"/>
    </row>
    <row r="3" spans="1:25" ht="15" thickBot="1" x14ac:dyDescent="0.35">
      <c r="B3" s="146" t="s">
        <v>41</v>
      </c>
      <c r="C3" s="118" t="s">
        <v>75</v>
      </c>
      <c r="D3" s="21" t="s">
        <v>20</v>
      </c>
      <c r="E3" s="4"/>
      <c r="F3" s="32" t="s">
        <v>30</v>
      </c>
      <c r="G3" s="33">
        <f>VLOOKUP(D3,DataTable!A5:O10,2,)</f>
        <v>25</v>
      </c>
      <c r="H3" s="33"/>
      <c r="I3" s="32" t="s">
        <v>33</v>
      </c>
      <c r="J3" s="34">
        <f>VLOOKUP(D3,DataTable!A5:O10,5,)</f>
        <v>2.6</v>
      </c>
      <c r="K3" s="4"/>
      <c r="L3" s="38" t="s">
        <v>73</v>
      </c>
      <c r="M3" s="27" t="s">
        <v>42</v>
      </c>
      <c r="N3" s="4"/>
      <c r="O3" s="32" t="s">
        <v>56</v>
      </c>
      <c r="P3" s="33">
        <f>VLOOKUP(M3,DataTable!A16:E17,2,)</f>
        <v>500</v>
      </c>
      <c r="Q3" s="4"/>
      <c r="R3" s="32" t="s">
        <v>87</v>
      </c>
      <c r="S3" s="34">
        <f>VLOOKUP(M3,DataTable!A16:E17,3,)</f>
        <v>200</v>
      </c>
      <c r="T3" s="3"/>
      <c r="U3" s="128" t="s">
        <v>90</v>
      </c>
      <c r="V3" s="129">
        <v>12</v>
      </c>
      <c r="W3" s="153"/>
      <c r="X3" s="150"/>
    </row>
    <row r="4" spans="1:25" ht="16.2" thickBot="1" x14ac:dyDescent="0.4">
      <c r="C4" s="35" t="s">
        <v>25</v>
      </c>
      <c r="D4" s="36">
        <f>VLOOKUP(B3,DataTable!R5:U7,2,)</f>
        <v>1.5</v>
      </c>
      <c r="E4" s="4"/>
      <c r="F4" s="37" t="s">
        <v>31</v>
      </c>
      <c r="G4" s="33">
        <f>VLOOKUP(D3,DataTable!A5:O10,10,)</f>
        <v>3.5</v>
      </c>
      <c r="H4" s="33"/>
      <c r="I4" s="4"/>
      <c r="J4" s="5"/>
      <c r="K4" s="4"/>
      <c r="L4" s="38" t="s">
        <v>74</v>
      </c>
      <c r="M4" s="27" t="s">
        <v>70</v>
      </c>
      <c r="N4" s="4"/>
      <c r="O4" s="37" t="s">
        <v>57</v>
      </c>
      <c r="P4" s="4">
        <f>VLOOKUP(M3,DataTable!A16:E17,4,)</f>
        <v>25</v>
      </c>
      <c r="Q4" s="4"/>
      <c r="R4" s="4"/>
      <c r="S4" s="5"/>
      <c r="T4" s="3"/>
      <c r="U4" s="145" t="s">
        <v>64</v>
      </c>
      <c r="V4" s="130">
        <v>5</v>
      </c>
      <c r="X4" s="147">
        <v>43200.041550925926</v>
      </c>
    </row>
    <row r="5" spans="1:25" ht="15.6" x14ac:dyDescent="0.35">
      <c r="C5" s="35" t="s">
        <v>24</v>
      </c>
      <c r="D5" s="36">
        <f>VLOOKUP(B3,DataTable!R5:U7,3,)</f>
        <v>0.85</v>
      </c>
      <c r="E5" s="4"/>
      <c r="F5" s="4"/>
      <c r="G5" s="4"/>
      <c r="H5" s="4"/>
      <c r="I5" s="4"/>
      <c r="J5" s="5"/>
      <c r="K5" s="4"/>
      <c r="L5" s="35" t="s">
        <v>58</v>
      </c>
      <c r="M5" s="4">
        <f>VLOOKUP(B3,DataTable!R5:V7,5,)</f>
        <v>1.1499999999999999</v>
      </c>
      <c r="N5" s="4"/>
      <c r="O5" s="4"/>
      <c r="P5" s="4"/>
      <c r="Q5" s="4"/>
      <c r="R5" s="4"/>
      <c r="S5" s="5"/>
    </row>
    <row r="6" spans="1:25" ht="16.2" thickBot="1" x14ac:dyDescent="0.4">
      <c r="C6" s="119" t="s">
        <v>34</v>
      </c>
      <c r="D6" s="120">
        <f>VLOOKUP(B3,DataTable!R5:U7,4,)</f>
        <v>1</v>
      </c>
      <c r="E6" s="23"/>
      <c r="F6" s="39" t="s">
        <v>32</v>
      </c>
      <c r="G6" s="121">
        <f>G3*D5/D4</f>
        <v>14.166666666666666</v>
      </c>
      <c r="H6" s="121"/>
      <c r="I6" s="39" t="s">
        <v>88</v>
      </c>
      <c r="J6" s="122">
        <f>VLOOKUP(D3,DataTable!A5:O10,6,)*D6/D4</f>
        <v>1.2</v>
      </c>
      <c r="K6" s="23"/>
      <c r="L6" s="13"/>
      <c r="M6" s="23"/>
      <c r="N6" s="23"/>
      <c r="O6" s="39" t="s">
        <v>61</v>
      </c>
      <c r="P6" s="121">
        <f>P3/M5</f>
        <v>434.78260869565219</v>
      </c>
      <c r="Q6" s="23"/>
      <c r="R6" s="23"/>
      <c r="S6" s="24"/>
      <c r="X6" s="2" t="s">
        <v>140</v>
      </c>
      <c r="Y6" s="151">
        <f>10+MAX(A11:A41)</f>
        <v>16</v>
      </c>
    </row>
    <row r="8" spans="1:25" ht="15" customHeight="1" x14ac:dyDescent="0.35">
      <c r="A8" s="210" t="s">
        <v>136</v>
      </c>
      <c r="B8" s="210" t="s">
        <v>137</v>
      </c>
      <c r="C8" s="206" t="s">
        <v>86</v>
      </c>
      <c r="D8" s="206"/>
      <c r="E8" s="206"/>
      <c r="F8" s="206"/>
      <c r="G8" s="206"/>
      <c r="I8" s="207" t="s">
        <v>118</v>
      </c>
      <c r="J8" s="208"/>
      <c r="K8" s="208"/>
      <c r="L8" s="208"/>
      <c r="M8" s="208"/>
      <c r="N8" s="206" t="s">
        <v>122</v>
      </c>
      <c r="O8" s="212"/>
      <c r="P8" s="212"/>
      <c r="Q8" s="212"/>
      <c r="R8" s="212"/>
      <c r="S8" s="212"/>
      <c r="T8" s="212"/>
      <c r="U8" s="212"/>
    </row>
    <row r="9" spans="1:25" s="123" customFormat="1" ht="14.4" customHeight="1" x14ac:dyDescent="0.3">
      <c r="A9" s="210"/>
      <c r="B9" s="210"/>
      <c r="C9" s="210" t="s">
        <v>114</v>
      </c>
      <c r="D9" s="210" t="s">
        <v>115</v>
      </c>
      <c r="E9" s="210" t="s">
        <v>116</v>
      </c>
      <c r="F9" s="210" t="s">
        <v>117</v>
      </c>
      <c r="G9" s="142"/>
      <c r="I9" s="211" t="s">
        <v>119</v>
      </c>
      <c r="J9" s="213" t="str">
        <f>IF(I11="rec","b"&amp;CHAR(10)&amp;"[cm]","R"&amp;CHAR(10)&amp;"[cm]")</f>
        <v>b
[cm]</v>
      </c>
      <c r="L9" s="213" t="str">
        <f>IF(I11="rec","h"&amp;CHAR(10)&amp;"[cm]","")</f>
        <v>h
[cm]</v>
      </c>
      <c r="M9" s="214" t="s">
        <v>121</v>
      </c>
      <c r="N9" s="209" t="s">
        <v>94</v>
      </c>
      <c r="O9" s="209"/>
      <c r="P9" s="209" t="s">
        <v>95</v>
      </c>
      <c r="Q9" s="209"/>
      <c r="R9" s="209" t="s">
        <v>96</v>
      </c>
      <c r="S9" s="210"/>
      <c r="T9" s="210"/>
      <c r="U9" s="210"/>
    </row>
    <row r="10" spans="1:25" s="123" customFormat="1" ht="30.6" x14ac:dyDescent="0.3">
      <c r="A10" s="210"/>
      <c r="B10" s="210"/>
      <c r="C10" s="210"/>
      <c r="D10" s="210"/>
      <c r="E10" s="210"/>
      <c r="F10" s="210"/>
      <c r="G10" s="142"/>
      <c r="I10" s="211"/>
      <c r="J10" s="213"/>
      <c r="L10" s="213"/>
      <c r="M10" s="214"/>
      <c r="N10" s="134" t="s">
        <v>123</v>
      </c>
      <c r="O10" s="134" t="s">
        <v>124</v>
      </c>
      <c r="P10" s="133" t="s">
        <v>123</v>
      </c>
      <c r="Q10" s="133" t="s">
        <v>125</v>
      </c>
      <c r="R10" s="134" t="s">
        <v>126</v>
      </c>
      <c r="S10" s="134" t="s">
        <v>127</v>
      </c>
      <c r="T10" s="124"/>
      <c r="U10" s="134" t="s">
        <v>128</v>
      </c>
    </row>
    <row r="11" spans="1:25" x14ac:dyDescent="0.3">
      <c r="A11" s="4">
        <f>IF(OR(C11&lt;&gt;"",D11&lt;&gt;"",E11&lt;&gt;"",F11&lt;&gt;""),1,"")</f>
        <v>1</v>
      </c>
      <c r="B11" s="143" t="s">
        <v>141</v>
      </c>
      <c r="C11" s="140">
        <v>275</v>
      </c>
      <c r="D11" s="140">
        <v>0</v>
      </c>
      <c r="E11" s="140">
        <v>0</v>
      </c>
      <c r="F11" s="140"/>
      <c r="G11" s="125"/>
      <c r="I11" s="139" t="s">
        <v>68</v>
      </c>
      <c r="J11" s="154">
        <v>100</v>
      </c>
      <c r="K11" s="126"/>
      <c r="L11" s="154">
        <v>35</v>
      </c>
      <c r="M11" s="152">
        <f>IF(A11&lt;&gt;"",$V$4,"")</f>
        <v>5</v>
      </c>
      <c r="N11" s="73">
        <v>25.643727310514773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/>
      <c r="U11" s="73">
        <v>0</v>
      </c>
    </row>
    <row r="12" spans="1:25" x14ac:dyDescent="0.3">
      <c r="A12">
        <f>IF(OR(C12&lt;&gt;"",D12&lt;&gt;"",E12&lt;&gt;"",F12&lt;&gt;""),A11+1,"")</f>
        <v>2</v>
      </c>
      <c r="B12" s="144" t="s">
        <v>142</v>
      </c>
      <c r="C12" s="157">
        <v>235</v>
      </c>
      <c r="D12" s="157">
        <v>425</v>
      </c>
      <c r="E12" s="157">
        <v>0</v>
      </c>
      <c r="F12" s="141"/>
      <c r="G12" s="125"/>
      <c r="I12" s="139" t="str">
        <f t="shared" ref="I12:I41" si="0">IF(A12&lt;&gt;"","rec","")</f>
        <v>rec</v>
      </c>
      <c r="J12" s="154">
        <v>100</v>
      </c>
      <c r="K12" s="126"/>
      <c r="L12" s="154">
        <v>45</v>
      </c>
      <c r="M12" s="152">
        <f t="shared" ref="M12:M41" si="1">IF(A12&lt;&gt;"",$V$4,"")</f>
        <v>5</v>
      </c>
      <c r="N12" s="73">
        <v>14.88319205015037</v>
      </c>
      <c r="O12" s="73">
        <v>0</v>
      </c>
      <c r="P12" s="73">
        <v>7.3312499999999998</v>
      </c>
      <c r="Q12" s="73">
        <v>11.255037420840528</v>
      </c>
      <c r="R12" s="73">
        <v>0</v>
      </c>
      <c r="S12" s="73">
        <v>0</v>
      </c>
      <c r="T12" s="73"/>
      <c r="U12" s="73">
        <v>0</v>
      </c>
    </row>
    <row r="13" spans="1:25" x14ac:dyDescent="0.3">
      <c r="A13">
        <f t="shared" ref="A13:A41" si="2">IF(OR(C13&lt;&gt;"",D13&lt;&gt;"",E13&lt;&gt;"",F13&lt;&gt;""),A12+1,"")</f>
        <v>3</v>
      </c>
      <c r="B13" s="144" t="s">
        <v>143</v>
      </c>
      <c r="C13" s="157">
        <v>235</v>
      </c>
      <c r="D13" s="157">
        <v>70</v>
      </c>
      <c r="E13" s="157">
        <v>0</v>
      </c>
      <c r="F13" s="141"/>
      <c r="G13" s="125"/>
      <c r="I13" s="139" t="str">
        <f t="shared" si="0"/>
        <v>rec</v>
      </c>
      <c r="J13" s="154">
        <v>100</v>
      </c>
      <c r="K13" s="126"/>
      <c r="L13" s="154">
        <v>35</v>
      </c>
      <c r="M13" s="152">
        <f t="shared" si="1"/>
        <v>5</v>
      </c>
      <c r="N13" s="73">
        <v>21.34261574271342</v>
      </c>
      <c r="O13" s="73">
        <v>0</v>
      </c>
      <c r="P13" s="73">
        <v>1.2075</v>
      </c>
      <c r="Q13" s="73">
        <v>0</v>
      </c>
      <c r="R13" s="73">
        <v>0</v>
      </c>
      <c r="S13" s="73">
        <v>0</v>
      </c>
      <c r="T13" s="73"/>
      <c r="U13" s="73">
        <v>0</v>
      </c>
    </row>
    <row r="14" spans="1:25" x14ac:dyDescent="0.3">
      <c r="A14">
        <f t="shared" si="2"/>
        <v>4</v>
      </c>
      <c r="B14" s="144" t="s">
        <v>144</v>
      </c>
      <c r="C14" s="157">
        <v>160</v>
      </c>
      <c r="D14" s="157">
        <v>70</v>
      </c>
      <c r="E14" s="157">
        <v>0</v>
      </c>
      <c r="F14" s="141"/>
      <c r="G14" s="125"/>
      <c r="I14" s="139" t="str">
        <f t="shared" si="0"/>
        <v>rec</v>
      </c>
      <c r="J14" s="154">
        <v>100</v>
      </c>
      <c r="K14" s="126"/>
      <c r="L14" s="154">
        <v>35</v>
      </c>
      <c r="M14" s="152">
        <f t="shared" si="1"/>
        <v>5</v>
      </c>
      <c r="N14" s="73">
        <v>13.90446274094165</v>
      </c>
      <c r="O14" s="73">
        <v>0</v>
      </c>
      <c r="P14" s="73">
        <v>1.2075</v>
      </c>
      <c r="Q14" s="73">
        <v>0</v>
      </c>
      <c r="R14" s="73">
        <v>0</v>
      </c>
      <c r="S14" s="73">
        <v>0</v>
      </c>
      <c r="T14" s="73"/>
      <c r="U14" s="73">
        <v>0</v>
      </c>
    </row>
    <row r="15" spans="1:25" x14ac:dyDescent="0.3">
      <c r="A15">
        <f t="shared" si="2"/>
        <v>5</v>
      </c>
      <c r="B15" s="144" t="s">
        <v>145</v>
      </c>
      <c r="C15" s="157">
        <v>195</v>
      </c>
      <c r="D15" s="157">
        <v>0</v>
      </c>
      <c r="E15" s="157">
        <v>0</v>
      </c>
      <c r="F15" s="141"/>
      <c r="G15" s="125"/>
      <c r="I15" s="139" t="str">
        <f t="shared" si="0"/>
        <v>rec</v>
      </c>
      <c r="J15" s="154">
        <v>100</v>
      </c>
      <c r="K15" s="126"/>
      <c r="L15" s="154">
        <v>35</v>
      </c>
      <c r="M15" s="152">
        <f t="shared" si="1"/>
        <v>5</v>
      </c>
      <c r="N15" s="73">
        <v>17.284838885156283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/>
      <c r="U15" s="73">
        <v>0</v>
      </c>
    </row>
    <row r="16" spans="1:25" x14ac:dyDescent="0.3">
      <c r="A16">
        <f t="shared" si="2"/>
        <v>6</v>
      </c>
      <c r="B16" s="144" t="s">
        <v>146</v>
      </c>
      <c r="C16" s="157">
        <v>155</v>
      </c>
      <c r="D16" s="157">
        <v>175</v>
      </c>
      <c r="E16" s="157">
        <v>0</v>
      </c>
      <c r="F16" s="141"/>
      <c r="G16" s="125"/>
      <c r="I16" s="139" t="str">
        <f t="shared" si="0"/>
        <v>rec</v>
      </c>
      <c r="J16" s="154">
        <v>100</v>
      </c>
      <c r="K16" s="126"/>
      <c r="L16" s="154">
        <v>45</v>
      </c>
      <c r="M16" s="152">
        <f t="shared" si="1"/>
        <v>5</v>
      </c>
      <c r="N16" s="73">
        <v>9.7128749784907171</v>
      </c>
      <c r="O16" s="73">
        <v>0</v>
      </c>
      <c r="P16" s="73">
        <v>3.0187499999999994</v>
      </c>
      <c r="Q16" s="73">
        <v>4.6344271732872757</v>
      </c>
      <c r="R16" s="73">
        <v>0</v>
      </c>
      <c r="S16" s="73">
        <v>0</v>
      </c>
      <c r="T16" s="73"/>
      <c r="U16" s="73">
        <v>0</v>
      </c>
    </row>
    <row r="17" spans="1:21" x14ac:dyDescent="0.3">
      <c r="A17" t="str">
        <f t="shared" si="2"/>
        <v/>
      </c>
      <c r="B17" s="144"/>
      <c r="C17" s="157"/>
      <c r="D17" s="157"/>
      <c r="E17" s="157"/>
      <c r="F17" s="141"/>
      <c r="G17" s="125"/>
      <c r="I17" s="139" t="str">
        <f t="shared" si="0"/>
        <v/>
      </c>
      <c r="J17" s="154"/>
      <c r="K17" s="126"/>
      <c r="L17" s="154"/>
      <c r="M17" s="152" t="str">
        <f t="shared" si="1"/>
        <v/>
      </c>
      <c r="N17" s="73"/>
      <c r="O17" s="73"/>
      <c r="P17" s="73"/>
      <c r="Q17" s="73"/>
      <c r="R17" s="73"/>
      <c r="S17" s="73"/>
      <c r="T17" s="73"/>
      <c r="U17" s="73"/>
    </row>
    <row r="18" spans="1:21" ht="14.4" customHeight="1" x14ac:dyDescent="0.3">
      <c r="A18" t="str">
        <f t="shared" si="2"/>
        <v/>
      </c>
      <c r="B18" s="144"/>
      <c r="C18" s="157"/>
      <c r="D18" s="157"/>
      <c r="E18" s="157"/>
      <c r="F18" s="141"/>
      <c r="G18" s="125"/>
      <c r="I18" s="139" t="str">
        <f t="shared" si="0"/>
        <v/>
      </c>
      <c r="J18" s="154"/>
      <c r="K18" s="126"/>
      <c r="L18" s="154"/>
      <c r="M18" s="152" t="str">
        <f t="shared" si="1"/>
        <v/>
      </c>
      <c r="N18" s="73"/>
      <c r="O18" s="73"/>
      <c r="P18" s="73"/>
      <c r="Q18" s="33"/>
      <c r="R18" s="33"/>
      <c r="S18" s="33"/>
      <c r="T18" s="33"/>
      <c r="U18" s="33"/>
    </row>
    <row r="19" spans="1:21" x14ac:dyDescent="0.3">
      <c r="A19" t="str">
        <f t="shared" si="2"/>
        <v/>
      </c>
      <c r="B19" s="144"/>
      <c r="C19" s="157"/>
      <c r="D19" s="157"/>
      <c r="E19" s="157"/>
      <c r="F19" s="141"/>
      <c r="G19" s="125"/>
      <c r="I19" s="139" t="str">
        <f t="shared" si="0"/>
        <v/>
      </c>
      <c r="J19" s="154"/>
      <c r="K19" s="126"/>
      <c r="L19" s="154"/>
      <c r="M19" s="152" t="str">
        <f t="shared" si="1"/>
        <v/>
      </c>
      <c r="N19" s="73"/>
      <c r="O19" s="73"/>
      <c r="P19" s="73"/>
      <c r="Q19" s="33"/>
      <c r="R19" s="33"/>
      <c r="S19" s="33"/>
      <c r="T19" s="33"/>
      <c r="U19" s="33"/>
    </row>
    <row r="20" spans="1:21" x14ac:dyDescent="0.3">
      <c r="A20" t="str">
        <f t="shared" si="2"/>
        <v/>
      </c>
      <c r="B20" s="144"/>
      <c r="C20" s="157"/>
      <c r="D20" s="157"/>
      <c r="E20" s="157"/>
      <c r="F20" s="141"/>
      <c r="G20" s="125"/>
      <c r="I20" s="139" t="str">
        <f t="shared" si="0"/>
        <v/>
      </c>
      <c r="J20" s="154"/>
      <c r="K20" s="126"/>
      <c r="L20" s="154"/>
      <c r="M20" s="152" t="str">
        <f t="shared" si="1"/>
        <v/>
      </c>
      <c r="N20" s="73"/>
      <c r="O20" s="73"/>
      <c r="P20" s="73"/>
      <c r="Q20" s="33"/>
      <c r="R20" s="33"/>
      <c r="S20" s="33"/>
      <c r="T20" s="33"/>
      <c r="U20" s="83"/>
    </row>
    <row r="21" spans="1:21" x14ac:dyDescent="0.3">
      <c r="A21" t="str">
        <f t="shared" si="2"/>
        <v/>
      </c>
      <c r="B21" s="144"/>
      <c r="C21" s="157"/>
      <c r="D21" s="157"/>
      <c r="E21" s="157"/>
      <c r="F21" s="141"/>
      <c r="G21" s="125"/>
      <c r="I21" s="139" t="str">
        <f t="shared" si="0"/>
        <v/>
      </c>
      <c r="J21" s="154"/>
      <c r="K21" s="126"/>
      <c r="L21" s="154"/>
      <c r="M21" s="152" t="str">
        <f t="shared" si="1"/>
        <v/>
      </c>
      <c r="N21" s="73"/>
      <c r="O21" s="73"/>
      <c r="P21" s="73"/>
      <c r="Q21" s="33"/>
      <c r="R21" s="33"/>
      <c r="S21" s="33"/>
      <c r="T21" s="33"/>
      <c r="U21" s="83"/>
    </row>
    <row r="22" spans="1:21" x14ac:dyDescent="0.3">
      <c r="A22" t="str">
        <f t="shared" si="2"/>
        <v/>
      </c>
      <c r="B22" s="144"/>
      <c r="C22" s="157"/>
      <c r="D22" s="157"/>
      <c r="E22" s="157"/>
      <c r="F22" s="141"/>
      <c r="G22" s="125"/>
      <c r="I22" s="139" t="str">
        <f t="shared" si="0"/>
        <v/>
      </c>
      <c r="J22" s="154"/>
      <c r="K22" s="126"/>
      <c r="L22" s="154"/>
      <c r="M22" s="152" t="str">
        <f t="shared" si="1"/>
        <v/>
      </c>
      <c r="N22" s="73"/>
      <c r="O22" s="73"/>
      <c r="P22" s="73"/>
      <c r="Q22" s="33"/>
      <c r="R22" s="33"/>
      <c r="S22" s="155"/>
      <c r="T22" s="84"/>
      <c r="U22" s="84"/>
    </row>
    <row r="23" spans="1:21" x14ac:dyDescent="0.3">
      <c r="A23" t="str">
        <f t="shared" si="2"/>
        <v/>
      </c>
      <c r="B23" s="144"/>
      <c r="C23" s="157"/>
      <c r="D23" s="157"/>
      <c r="E23" s="157"/>
      <c r="F23" s="141"/>
      <c r="G23" s="125"/>
      <c r="I23" s="139" t="str">
        <f t="shared" si="0"/>
        <v/>
      </c>
      <c r="J23" s="154"/>
      <c r="K23" s="126"/>
      <c r="L23" s="154"/>
      <c r="M23" s="152" t="str">
        <f t="shared" si="1"/>
        <v/>
      </c>
      <c r="N23" s="73"/>
      <c r="O23" s="73"/>
      <c r="P23" s="73"/>
      <c r="Q23" s="33"/>
      <c r="R23" s="33"/>
      <c r="S23" s="33"/>
      <c r="T23" s="33"/>
      <c r="U23" s="83"/>
    </row>
    <row r="24" spans="1:21" x14ac:dyDescent="0.3">
      <c r="A24" t="str">
        <f t="shared" si="2"/>
        <v/>
      </c>
      <c r="B24" s="144"/>
      <c r="C24" s="157"/>
      <c r="D24" s="157"/>
      <c r="E24" s="157"/>
      <c r="F24" s="141"/>
      <c r="G24" s="125"/>
      <c r="I24" s="139" t="str">
        <f t="shared" si="0"/>
        <v/>
      </c>
      <c r="J24" s="154"/>
      <c r="K24" s="126"/>
      <c r="L24" s="154"/>
      <c r="M24" s="152" t="str">
        <f t="shared" si="1"/>
        <v/>
      </c>
      <c r="N24" s="73"/>
      <c r="O24" s="73"/>
      <c r="P24" s="73"/>
      <c r="Q24" s="33"/>
      <c r="R24" s="33"/>
      <c r="S24" s="156"/>
      <c r="T24" s="33"/>
      <c r="U24" s="83"/>
    </row>
    <row r="25" spans="1:21" x14ac:dyDescent="0.3">
      <c r="A25" t="str">
        <f t="shared" si="2"/>
        <v/>
      </c>
      <c r="B25" s="144"/>
      <c r="C25" s="157"/>
      <c r="D25" s="157"/>
      <c r="E25" s="157"/>
      <c r="F25" s="141"/>
      <c r="G25" s="125"/>
      <c r="I25" s="139" t="str">
        <f t="shared" si="0"/>
        <v/>
      </c>
      <c r="J25" s="154"/>
      <c r="K25" s="126"/>
      <c r="L25" s="154"/>
      <c r="M25" s="152" t="str">
        <f t="shared" si="1"/>
        <v/>
      </c>
      <c r="N25" s="73"/>
      <c r="O25" s="73"/>
      <c r="P25" s="33"/>
      <c r="Q25" s="33"/>
      <c r="R25" s="33"/>
      <c r="S25" s="155"/>
      <c r="T25" s="84"/>
      <c r="U25" s="84"/>
    </row>
    <row r="26" spans="1:21" x14ac:dyDescent="0.3">
      <c r="A26" t="str">
        <f t="shared" si="2"/>
        <v/>
      </c>
      <c r="B26" s="144"/>
      <c r="C26" s="157"/>
      <c r="D26" s="157"/>
      <c r="E26" s="157"/>
      <c r="F26" s="141"/>
      <c r="G26" s="125"/>
      <c r="I26" s="139" t="str">
        <f t="shared" si="0"/>
        <v/>
      </c>
      <c r="J26" s="154"/>
      <c r="K26" s="126"/>
      <c r="L26" s="154"/>
      <c r="M26" s="152" t="str">
        <f t="shared" si="1"/>
        <v/>
      </c>
      <c r="N26" s="73"/>
      <c r="O26" s="73"/>
      <c r="P26" s="73"/>
      <c r="Q26" s="33"/>
      <c r="R26" s="33"/>
      <c r="S26" s="155"/>
      <c r="T26" s="84"/>
      <c r="U26" s="84"/>
    </row>
    <row r="27" spans="1:21" x14ac:dyDescent="0.3">
      <c r="A27" t="str">
        <f t="shared" si="2"/>
        <v/>
      </c>
      <c r="B27" s="144"/>
      <c r="C27" s="157"/>
      <c r="D27" s="157"/>
      <c r="E27" s="157"/>
      <c r="F27" s="141"/>
      <c r="G27" s="125"/>
      <c r="I27" s="139" t="str">
        <f t="shared" si="0"/>
        <v/>
      </c>
      <c r="J27" s="154"/>
      <c r="K27" s="126"/>
      <c r="L27" s="154"/>
      <c r="M27" s="152" t="str">
        <f t="shared" si="1"/>
        <v/>
      </c>
      <c r="N27" s="73"/>
      <c r="O27" s="73"/>
      <c r="P27" s="73"/>
      <c r="Q27" s="33"/>
      <c r="R27" s="33"/>
      <c r="S27" s="33"/>
      <c r="T27" s="33"/>
      <c r="U27" s="83"/>
    </row>
    <row r="28" spans="1:21" x14ac:dyDescent="0.3">
      <c r="A28" t="str">
        <f t="shared" si="2"/>
        <v/>
      </c>
      <c r="B28" s="144"/>
      <c r="C28" s="157"/>
      <c r="D28" s="157"/>
      <c r="E28" s="157"/>
      <c r="F28" s="141"/>
      <c r="G28" s="125"/>
      <c r="I28" s="139" t="str">
        <f t="shared" si="0"/>
        <v/>
      </c>
      <c r="J28" s="154"/>
      <c r="K28" s="126"/>
      <c r="L28" s="154"/>
      <c r="M28" s="152" t="str">
        <f t="shared" si="1"/>
        <v/>
      </c>
      <c r="N28" s="73"/>
      <c r="O28" s="73"/>
      <c r="P28" s="73"/>
      <c r="Q28" s="33"/>
      <c r="R28" s="33"/>
      <c r="S28" s="156"/>
      <c r="T28" s="33"/>
      <c r="U28" s="83"/>
    </row>
    <row r="29" spans="1:21" x14ac:dyDescent="0.3">
      <c r="A29" t="str">
        <f t="shared" si="2"/>
        <v/>
      </c>
      <c r="B29" s="144"/>
      <c r="C29" s="157"/>
      <c r="D29" s="157"/>
      <c r="E29" s="157"/>
      <c r="F29" s="141"/>
      <c r="G29" s="125"/>
      <c r="I29" s="139" t="str">
        <f t="shared" si="0"/>
        <v/>
      </c>
      <c r="J29" s="154"/>
      <c r="K29" s="126"/>
      <c r="L29" s="154"/>
      <c r="M29" s="152" t="str">
        <f t="shared" si="1"/>
        <v/>
      </c>
      <c r="N29" s="73"/>
      <c r="O29" s="73"/>
      <c r="P29" s="73"/>
      <c r="Q29" s="33"/>
      <c r="R29" s="33"/>
      <c r="S29" s="156"/>
      <c r="T29" s="84"/>
      <c r="U29" s="33"/>
    </row>
    <row r="30" spans="1:21" ht="14.4" customHeight="1" x14ac:dyDescent="0.3">
      <c r="A30" t="str">
        <f t="shared" si="2"/>
        <v/>
      </c>
      <c r="B30" s="144"/>
      <c r="C30" s="157"/>
      <c r="D30" s="157"/>
      <c r="E30" s="157"/>
      <c r="F30" s="141"/>
      <c r="G30" s="125"/>
      <c r="I30" s="139" t="str">
        <f t="shared" si="0"/>
        <v/>
      </c>
      <c r="J30" s="154"/>
      <c r="K30" s="126"/>
      <c r="L30" s="154"/>
      <c r="M30" s="152" t="str">
        <f t="shared" si="1"/>
        <v/>
      </c>
      <c r="N30" s="73"/>
      <c r="O30" s="73"/>
      <c r="P30" s="73"/>
      <c r="Q30" s="33"/>
      <c r="R30" s="33"/>
      <c r="S30" s="33"/>
      <c r="T30" s="33"/>
      <c r="U30" s="33"/>
    </row>
    <row r="31" spans="1:21" x14ac:dyDescent="0.3">
      <c r="A31" t="str">
        <f t="shared" si="2"/>
        <v/>
      </c>
      <c r="B31" s="144"/>
      <c r="C31" s="157"/>
      <c r="D31" s="157"/>
      <c r="E31" s="157"/>
      <c r="F31" s="141"/>
      <c r="G31" s="125"/>
      <c r="I31" s="139" t="str">
        <f t="shared" si="0"/>
        <v/>
      </c>
      <c r="J31" s="154"/>
      <c r="K31" s="126"/>
      <c r="L31" s="154"/>
      <c r="M31" s="152" t="str">
        <f t="shared" si="1"/>
        <v/>
      </c>
      <c r="N31" s="73"/>
      <c r="O31" s="73"/>
      <c r="P31" s="73"/>
      <c r="Q31" s="33"/>
      <c r="R31" s="33"/>
      <c r="S31" s="33"/>
      <c r="T31" s="33"/>
      <c r="U31" s="33"/>
    </row>
    <row r="32" spans="1:21" x14ac:dyDescent="0.3">
      <c r="A32" t="str">
        <f t="shared" si="2"/>
        <v/>
      </c>
      <c r="B32" s="144"/>
      <c r="C32" s="157"/>
      <c r="D32" s="157"/>
      <c r="E32" s="157"/>
      <c r="F32" s="141"/>
      <c r="G32" s="125"/>
      <c r="I32" s="139" t="str">
        <f t="shared" si="0"/>
        <v/>
      </c>
      <c r="J32" s="154"/>
      <c r="K32" s="126"/>
      <c r="L32" s="154"/>
      <c r="M32" s="152" t="str">
        <f t="shared" si="1"/>
        <v/>
      </c>
      <c r="N32" s="73"/>
      <c r="O32" s="73"/>
      <c r="P32" s="73"/>
      <c r="Q32" s="33"/>
      <c r="R32" s="33"/>
      <c r="S32" s="33"/>
      <c r="T32" s="33"/>
      <c r="U32" s="33"/>
    </row>
    <row r="33" spans="1:21" x14ac:dyDescent="0.3">
      <c r="A33" t="str">
        <f t="shared" si="2"/>
        <v/>
      </c>
      <c r="B33" s="144"/>
      <c r="C33" s="157"/>
      <c r="D33" s="157"/>
      <c r="E33" s="157"/>
      <c r="F33" s="141"/>
      <c r="G33" s="125"/>
      <c r="I33" s="139" t="str">
        <f t="shared" si="0"/>
        <v/>
      </c>
      <c r="J33" s="154"/>
      <c r="K33" s="126"/>
      <c r="L33" s="154"/>
      <c r="M33" s="152" t="str">
        <f t="shared" si="1"/>
        <v/>
      </c>
      <c r="N33" s="73"/>
      <c r="O33" s="73"/>
      <c r="P33" s="73"/>
      <c r="Q33" s="33"/>
      <c r="R33" s="33"/>
      <c r="S33" s="33"/>
      <c r="T33" s="33"/>
      <c r="U33" s="33"/>
    </row>
    <row r="34" spans="1:21" x14ac:dyDescent="0.3">
      <c r="A34" t="str">
        <f t="shared" si="2"/>
        <v/>
      </c>
      <c r="B34" s="144"/>
      <c r="C34" s="157"/>
      <c r="D34" s="157"/>
      <c r="E34" s="157"/>
      <c r="F34" s="141"/>
      <c r="G34" s="125"/>
      <c r="I34" s="139" t="str">
        <f t="shared" si="0"/>
        <v/>
      </c>
      <c r="J34" s="154"/>
      <c r="K34" s="126"/>
      <c r="L34" s="154"/>
      <c r="M34" s="152" t="str">
        <f t="shared" si="1"/>
        <v/>
      </c>
      <c r="N34" s="73"/>
      <c r="O34" s="73"/>
      <c r="P34" s="73"/>
      <c r="Q34" s="33"/>
      <c r="R34" s="33"/>
      <c r="S34" s="33"/>
      <c r="T34" s="33"/>
      <c r="U34" s="33"/>
    </row>
    <row r="35" spans="1:21" x14ac:dyDescent="0.3">
      <c r="A35" t="str">
        <f t="shared" si="2"/>
        <v/>
      </c>
      <c r="B35" s="144"/>
      <c r="C35" s="157"/>
      <c r="D35" s="157"/>
      <c r="E35" s="157"/>
      <c r="F35" s="141"/>
      <c r="G35" s="125"/>
      <c r="I35" s="139" t="str">
        <f t="shared" si="0"/>
        <v/>
      </c>
      <c r="J35" s="154"/>
      <c r="K35" s="126"/>
      <c r="L35" s="154"/>
      <c r="M35" s="152" t="str">
        <f t="shared" si="1"/>
        <v/>
      </c>
      <c r="N35" s="73"/>
      <c r="O35" s="73"/>
      <c r="P35" s="73"/>
      <c r="Q35" s="73"/>
      <c r="R35" s="73"/>
      <c r="S35" s="73"/>
      <c r="T35" s="73"/>
      <c r="U35" s="73"/>
    </row>
    <row r="36" spans="1:21" x14ac:dyDescent="0.3">
      <c r="A36" t="str">
        <f t="shared" si="2"/>
        <v/>
      </c>
      <c r="B36" s="144"/>
      <c r="C36" s="157"/>
      <c r="D36" s="157"/>
      <c r="E36" s="157"/>
      <c r="F36" s="141"/>
      <c r="G36" s="125"/>
      <c r="I36" s="139" t="str">
        <f t="shared" si="0"/>
        <v/>
      </c>
      <c r="J36" s="154"/>
      <c r="K36" s="126"/>
      <c r="L36" s="154"/>
      <c r="M36" s="152" t="str">
        <f t="shared" si="1"/>
        <v/>
      </c>
      <c r="N36" s="73"/>
      <c r="O36" s="73"/>
      <c r="P36" s="73"/>
      <c r="Q36" s="73"/>
      <c r="R36" s="73"/>
      <c r="S36" s="73"/>
      <c r="T36" s="73"/>
      <c r="U36" s="73"/>
    </row>
    <row r="37" spans="1:21" ht="14.4" customHeight="1" x14ac:dyDescent="0.3">
      <c r="A37" t="str">
        <f t="shared" si="2"/>
        <v/>
      </c>
      <c r="B37" s="144"/>
      <c r="C37" s="157"/>
      <c r="D37" s="157"/>
      <c r="E37" s="157"/>
      <c r="F37" s="141"/>
      <c r="G37" s="125"/>
      <c r="I37" s="139" t="str">
        <f t="shared" si="0"/>
        <v/>
      </c>
      <c r="J37" s="154"/>
      <c r="K37" s="126"/>
      <c r="L37" s="154"/>
      <c r="M37" s="152" t="str">
        <f t="shared" si="1"/>
        <v/>
      </c>
      <c r="N37" s="73"/>
      <c r="O37" s="73"/>
      <c r="P37" s="73"/>
      <c r="Q37" s="73"/>
      <c r="R37" s="73"/>
      <c r="S37" s="73"/>
      <c r="T37" s="73"/>
      <c r="U37" s="73"/>
    </row>
    <row r="38" spans="1:21" x14ac:dyDescent="0.3">
      <c r="A38" t="str">
        <f t="shared" si="2"/>
        <v/>
      </c>
      <c r="B38" s="144"/>
      <c r="C38" s="157"/>
      <c r="D38" s="157"/>
      <c r="E38" s="157"/>
      <c r="F38" s="141"/>
      <c r="G38" s="125"/>
      <c r="I38" s="139" t="str">
        <f t="shared" si="0"/>
        <v/>
      </c>
      <c r="J38" s="154"/>
      <c r="K38" s="126"/>
      <c r="L38" s="154"/>
      <c r="M38" s="152" t="str">
        <f t="shared" si="1"/>
        <v/>
      </c>
      <c r="N38" s="73"/>
      <c r="O38" s="73"/>
      <c r="P38" s="73"/>
      <c r="Q38" s="73"/>
      <c r="R38" s="73"/>
      <c r="S38" s="73"/>
      <c r="T38" s="73"/>
      <c r="U38" s="73"/>
    </row>
    <row r="39" spans="1:21" x14ac:dyDescent="0.3">
      <c r="A39" t="str">
        <f t="shared" si="2"/>
        <v/>
      </c>
      <c r="B39" s="144"/>
      <c r="C39" s="157"/>
      <c r="D39" s="157"/>
      <c r="E39" s="157"/>
      <c r="F39" s="141"/>
      <c r="G39" s="125"/>
      <c r="I39" s="139" t="str">
        <f t="shared" si="0"/>
        <v/>
      </c>
      <c r="J39" s="154"/>
      <c r="K39" s="126"/>
      <c r="L39" s="154"/>
      <c r="M39" s="152" t="str">
        <f t="shared" si="1"/>
        <v/>
      </c>
      <c r="N39" s="73"/>
      <c r="O39" s="73"/>
      <c r="P39" s="73"/>
      <c r="Q39" s="73"/>
      <c r="R39" s="73"/>
      <c r="S39" s="73"/>
      <c r="T39" s="73"/>
      <c r="U39" s="73"/>
    </row>
    <row r="40" spans="1:21" x14ac:dyDescent="0.3">
      <c r="A40" t="str">
        <f t="shared" si="2"/>
        <v/>
      </c>
      <c r="B40" s="144"/>
      <c r="C40" s="157"/>
      <c r="D40" s="157"/>
      <c r="E40" s="157"/>
      <c r="F40" s="141"/>
      <c r="G40" s="125"/>
      <c r="I40" s="139" t="str">
        <f t="shared" si="0"/>
        <v/>
      </c>
      <c r="J40" s="154"/>
      <c r="K40" s="126"/>
      <c r="L40" s="154"/>
      <c r="M40" s="152" t="str">
        <f t="shared" si="1"/>
        <v/>
      </c>
      <c r="N40" s="73"/>
      <c r="O40" s="73"/>
      <c r="P40" s="73"/>
      <c r="Q40" s="73"/>
      <c r="R40" s="73"/>
      <c r="S40" s="73"/>
      <c r="T40" s="73"/>
      <c r="U40" s="73"/>
    </row>
    <row r="41" spans="1:21" x14ac:dyDescent="0.3">
      <c r="A41" t="str">
        <f t="shared" si="2"/>
        <v/>
      </c>
      <c r="B41" s="144"/>
      <c r="C41" s="157"/>
      <c r="D41" s="157"/>
      <c r="E41" s="157"/>
      <c r="F41" s="141"/>
      <c r="G41" s="125"/>
      <c r="I41" s="139" t="str">
        <f t="shared" si="0"/>
        <v/>
      </c>
      <c r="J41" s="154"/>
      <c r="K41" s="126"/>
      <c r="L41" s="154"/>
      <c r="M41" s="152" t="str">
        <f t="shared" si="1"/>
        <v/>
      </c>
      <c r="N41" s="73"/>
      <c r="O41" s="73"/>
      <c r="P41" s="73"/>
      <c r="Q41" s="73"/>
      <c r="R41" s="73"/>
      <c r="S41" s="73"/>
      <c r="T41" s="73"/>
      <c r="U41" s="73"/>
    </row>
    <row r="42" spans="1:21" s="127" customFormat="1" ht="5.4" customHeight="1" x14ac:dyDescent="0.3"/>
    <row r="52" spans="1:29" x14ac:dyDescent="0.3">
      <c r="C52" s="198" t="s">
        <v>129</v>
      </c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</row>
    <row r="53" spans="1:29" x14ac:dyDescent="0.3">
      <c r="C53" s="198" t="s">
        <v>130</v>
      </c>
      <c r="D53" s="198"/>
      <c r="E53" s="198"/>
      <c r="F53" s="198"/>
      <c r="G53" s="198"/>
      <c r="H53" s="198"/>
      <c r="I53" s="198"/>
      <c r="J53" s="198"/>
      <c r="K53" s="198"/>
      <c r="L53" s="198"/>
      <c r="M53" s="198"/>
      <c r="N53" s="198"/>
      <c r="O53" s="198"/>
      <c r="P53" s="198"/>
      <c r="Q53" s="198"/>
      <c r="R53" s="198"/>
      <c r="S53" s="198" t="s">
        <v>131</v>
      </c>
      <c r="T53" s="198"/>
      <c r="U53" s="198"/>
      <c r="V53" s="198"/>
      <c r="W53" s="198"/>
      <c r="X53" s="198"/>
      <c r="Y53" s="198"/>
      <c r="Z53" s="198"/>
      <c r="AA53" s="198"/>
      <c r="AB53" s="198"/>
      <c r="AC53" s="198"/>
    </row>
    <row r="54" spans="1:29" s="123" customFormat="1" ht="43.2" x14ac:dyDescent="0.3">
      <c r="A54" s="123" t="str">
        <f>A8</f>
        <v>#</v>
      </c>
      <c r="B54" s="123" t="str">
        <f>B8</f>
        <v>Name</v>
      </c>
      <c r="C54" s="135"/>
      <c r="D54" s="135"/>
      <c r="E54" s="132" t="s">
        <v>132</v>
      </c>
      <c r="F54" s="132" t="s">
        <v>133</v>
      </c>
      <c r="G54" s="132" t="s">
        <v>134</v>
      </c>
      <c r="I54" s="137"/>
      <c r="J54" s="137"/>
      <c r="K54" s="132" t="s">
        <v>132</v>
      </c>
      <c r="L54" s="132" t="s">
        <v>133</v>
      </c>
      <c r="M54" s="132" t="s">
        <v>134</v>
      </c>
      <c r="N54" s="137"/>
      <c r="O54" s="137"/>
      <c r="P54" s="132" t="s">
        <v>132</v>
      </c>
      <c r="Q54" s="132" t="s">
        <v>133</v>
      </c>
      <c r="R54" s="132" t="s">
        <v>134</v>
      </c>
      <c r="V54" s="131" t="s">
        <v>132</v>
      </c>
      <c r="W54" s="131" t="s">
        <v>135</v>
      </c>
      <c r="X54" s="131" t="s">
        <v>133</v>
      </c>
      <c r="AA54" s="131" t="s">
        <v>132</v>
      </c>
      <c r="AB54" s="131" t="s">
        <v>135</v>
      </c>
      <c r="AC54" s="131" t="s">
        <v>133</v>
      </c>
    </row>
    <row r="55" spans="1:29" x14ac:dyDescent="0.3">
      <c r="A55">
        <f>A11</f>
        <v>1</v>
      </c>
      <c r="B55" t="str">
        <f>IF(B11&lt;&gt;"",B11,"")</f>
        <v>UpM</v>
      </c>
      <c r="C55" s="6" t="str">
        <f t="shared" ref="C55:C85" si="3">IF(A55&lt;&gt;"",IF(N11+P11+R11&gt;0,"As1[cm2]","-"),"")</f>
        <v>As1[cm2]</v>
      </c>
      <c r="D55" s="136">
        <f t="shared" ref="D55:D85" si="4">IF(A55&lt;&gt;"",IF(C55&lt;&gt;"-",N11+P11+R11,C55),"")</f>
        <v>25.643727310514773</v>
      </c>
      <c r="E55" s="78">
        <v>25</v>
      </c>
      <c r="F55" s="6">
        <f>IF(A55&lt;&gt;"",IF(C55&lt;&gt;"-",ROUNDUP(D55/PI()/(E55/20)^2,0),C55),"")</f>
        <v>6</v>
      </c>
      <c r="G55" s="136">
        <f t="shared" ref="G55:G85" si="5">IF(A55&lt;&gt;"",IF(C55&lt;&gt;"-",((J11-(M11+V55/10)*2)-F55*E55/10)/(F55-1),C55),"")</f>
        <v>14.680000000000001</v>
      </c>
      <c r="I55" s="6" t="str">
        <f t="shared" ref="I55:I85" si="6">IF(A55&lt;&gt;"",IF(O11+R11&gt;0,"As2[cm2]","-"),"")</f>
        <v>-</v>
      </c>
      <c r="J55" s="136" t="str">
        <f t="shared" ref="J55:J85" si="7">IF(A55&lt;&gt;"",IF(I55&lt;&gt;"-",O11+R11,I55),"")</f>
        <v>-</v>
      </c>
      <c r="K55" s="78">
        <f>IF(A55&lt;&gt;"",8,"")</f>
        <v>8</v>
      </c>
      <c r="L55" s="6" t="str">
        <f>IF(A55&lt;&gt;"",IF(I55="-",I55,IF(ROUNDUP(J55/PI()/(K55/20)^2,0)=1,2,ROUNDUP(J55/PI()/(K55/20)^2,0))),"")</f>
        <v>-</v>
      </c>
      <c r="M55" s="136" t="str">
        <f t="shared" ref="M55:M85" si="8">IF(A55&lt;&gt;"",IF(I55&lt;&gt;"-",((J11-(M11+V55/10)*2)-L55*K55/10)/(L55-1),I55),"")</f>
        <v>-</v>
      </c>
      <c r="N55" s="6" t="str">
        <f t="shared" ref="N55:N85" si="9">IF(A55&lt;&gt;"",IF(S11&gt;0,"As_side-lr[cm2]","-"),"")</f>
        <v>-</v>
      </c>
      <c r="O55" s="136" t="str">
        <f t="shared" ref="O55:O85" si="10">IF(A55&lt;&gt;"",IF(N55&lt;&gt;"-",S11,"-"),"")</f>
        <v>-</v>
      </c>
      <c r="P55" s="78">
        <f>IF(A55&lt;&gt;"",8,"")</f>
        <v>8</v>
      </c>
      <c r="Q55" s="6" t="str">
        <f>IF(A55&lt;&gt;"",IF(N55&lt;&gt;"-",ROUNDUP(O55/PI()/(P55/20)^2,0),N55),"")</f>
        <v>-</v>
      </c>
      <c r="R55" s="1" t="str">
        <f t="shared" ref="R55:R85" si="11">IF(A55&lt;&gt;"",IF(N55&lt;&gt;"-",((L11-(M11+V55/10)*2)-Q55*P55/10)/(Q55-1),N55),"")</f>
        <v>-</v>
      </c>
      <c r="S55" s="1" t="str">
        <f t="shared" ref="S55:S85" si="12">IF(A55&lt;&gt;"",IF(U11+Q11&gt;0,"Asw_loop[cm2/m]","-"),"")</f>
        <v>-</v>
      </c>
      <c r="U55" s="160" t="str">
        <f t="shared" ref="U55:U85" si="13">IF(A55&lt;&gt;"",IF(Q11&gt;0,X55*100/W55*PI()*(V55/20)^2,"-"),"")</f>
        <v>-</v>
      </c>
      <c r="V55" s="78">
        <f>IF(A55&lt;&gt;"",8,"")</f>
        <v>8</v>
      </c>
      <c r="W55" s="78">
        <f>IF(A55&lt;&gt;"",20,"")</f>
        <v>20</v>
      </c>
      <c r="X55" s="159" t="str">
        <f>IF(A55&lt;&gt;"",IF(U55="-","-",IF(ROUNDUP(U55/PI()/(V55/20)^2,0)=1,2,ROUNDUP(U55/PI()/(V55/20)^2,0))),"")</f>
        <v>-</v>
      </c>
      <c r="Y55" s="1" t="str">
        <f>IF(A55&lt;&gt;"",IF(Z55="-","-","Asw_in[cm2/m]"),"")</f>
        <v>-</v>
      </c>
      <c r="Z55" s="160" t="str">
        <f>IF(A55&lt;&gt;"",IF(U55&gt;Q11+U11,"-",Q11+U11-U55),"")</f>
        <v>-</v>
      </c>
      <c r="AA55" s="78">
        <f>IF(A55&lt;&gt;"",8,"")</f>
        <v>8</v>
      </c>
      <c r="AB55" s="1">
        <f>W55</f>
        <v>20</v>
      </c>
      <c r="AC55" s="1" t="str">
        <f>IF(A55&lt;&gt;"",IF(Z55="-","-",IF(ROUNDUP(Z55/PI()/(AA55/20)^2,0)=1,2,ROUNDUP(Z55/PI()/(AA55/20)^2,0))),"")</f>
        <v>-</v>
      </c>
    </row>
    <row r="56" spans="1:29" x14ac:dyDescent="0.3">
      <c r="A56">
        <f t="shared" ref="A56:A85" si="14">A12</f>
        <v>2</v>
      </c>
      <c r="B56" t="str">
        <f t="shared" ref="B56:B85" si="15">IF(B12&lt;&gt;"",B12,"")</f>
        <v>UpE</v>
      </c>
      <c r="C56" s="6" t="str">
        <f t="shared" si="3"/>
        <v>As1[cm2]</v>
      </c>
      <c r="D56" s="136">
        <f t="shared" si="4"/>
        <v>22.214442050150371</v>
      </c>
      <c r="E56" s="78">
        <v>22</v>
      </c>
      <c r="F56" s="6">
        <f t="shared" ref="F56:F85" si="16">IF(A56&lt;&gt;"",IF(C56&lt;&gt;"-",ROUNDUP(D56/PI()/(E56/20)^2,0),C56),"")</f>
        <v>6</v>
      </c>
      <c r="G56" s="136">
        <f t="shared" si="5"/>
        <v>14.879999999999999</v>
      </c>
      <c r="I56" s="6" t="str">
        <f t="shared" si="6"/>
        <v>-</v>
      </c>
      <c r="J56" s="136" t="str">
        <f t="shared" si="7"/>
        <v>-</v>
      </c>
      <c r="K56" s="78">
        <f t="shared" ref="K56:K85" si="17">IF(A56&lt;&gt;"",8,"")</f>
        <v>8</v>
      </c>
      <c r="L56" s="6" t="str">
        <f t="shared" ref="L56:L85" si="18">IF(A56&lt;&gt;"",IF(I56="-",I56,IF(ROUNDUP(J56/PI()/(K56/20)^2,0)=1,2,ROUNDUP(J56/PI()/(K56/20)^2,0))),"")</f>
        <v>-</v>
      </c>
      <c r="M56" s="136" t="str">
        <f t="shared" si="8"/>
        <v>-</v>
      </c>
      <c r="N56" s="6" t="str">
        <f t="shared" si="9"/>
        <v>-</v>
      </c>
      <c r="O56" s="136" t="str">
        <f t="shared" si="10"/>
        <v>-</v>
      </c>
      <c r="P56" s="78">
        <f t="shared" ref="P56:P85" si="19">IF(A56&lt;&gt;"",8,"")</f>
        <v>8</v>
      </c>
      <c r="Q56" s="6" t="str">
        <f t="shared" ref="Q56:Q85" si="20">IF(A56&lt;&gt;"",IF(N56&lt;&gt;"-",ROUNDUP(O56/PI()/(P56/20)^2,0),N56),"")</f>
        <v>-</v>
      </c>
      <c r="R56" s="1" t="str">
        <f t="shared" si="11"/>
        <v>-</v>
      </c>
      <c r="S56" s="1" t="str">
        <f t="shared" si="12"/>
        <v>Asw_loop[cm2/m]</v>
      </c>
      <c r="U56" s="160">
        <f>IF(A56&lt;&gt;"",IF(Q12&gt;0,X56*100/W56*PI()*(V56/20)^2,"-"),"")</f>
        <v>16.964600329384879</v>
      </c>
      <c r="V56" s="78">
        <v>12</v>
      </c>
      <c r="W56" s="78">
        <f t="shared" ref="W56:W85" si="21">IF(A56&lt;&gt;"",20,"")</f>
        <v>20</v>
      </c>
      <c r="X56" s="159">
        <v>3</v>
      </c>
      <c r="Y56" s="1" t="str">
        <f t="shared" ref="Y56:Y85" si="22">IF(A56&lt;&gt;"",IF(Z56="-","-","Asw_in[cm2/m]"),"")</f>
        <v>-</v>
      </c>
      <c r="Z56" s="160" t="str">
        <f t="shared" ref="Z56:Z85" si="23">IF(A56&lt;&gt;"",IF(U56&gt;Q12+U12,"-",Q12+U12-U56),"")</f>
        <v>-</v>
      </c>
      <c r="AA56" s="78">
        <f t="shared" ref="AA56:AA85" si="24">IF(A56&lt;&gt;"",8,"")</f>
        <v>8</v>
      </c>
      <c r="AB56" s="1">
        <f t="shared" ref="AB56:AB85" si="25">W56</f>
        <v>20</v>
      </c>
      <c r="AC56" s="1" t="str">
        <f t="shared" ref="AC56:AC85" si="26">IF(A56&lt;&gt;"",IF(Z56="-","-",IF(ROUNDUP(Z56/PI()/(AA56/20)^2,0)=1,2,ROUNDUP(Z56/PI()/(AA56/20)^2,0))),"")</f>
        <v>-</v>
      </c>
    </row>
    <row r="57" spans="1:29" x14ac:dyDescent="0.3">
      <c r="A57">
        <f t="shared" si="14"/>
        <v>3</v>
      </c>
      <c r="B57" t="str">
        <f t="shared" si="15"/>
        <v>UpWa</v>
      </c>
      <c r="C57" s="6" t="str">
        <f t="shared" si="3"/>
        <v>As1[cm2]</v>
      </c>
      <c r="D57" s="136">
        <f t="shared" si="4"/>
        <v>22.55011574271342</v>
      </c>
      <c r="E57" s="78">
        <f t="shared" ref="E57:E85" si="27">IF(A57&lt;&gt;"",8,"")</f>
        <v>8</v>
      </c>
      <c r="F57" s="6">
        <f t="shared" si="16"/>
        <v>45</v>
      </c>
      <c r="G57" s="136">
        <f t="shared" si="5"/>
        <v>1.1909090909090911</v>
      </c>
      <c r="I57" s="6" t="str">
        <f t="shared" si="6"/>
        <v>-</v>
      </c>
      <c r="J57" s="136" t="str">
        <f t="shared" si="7"/>
        <v>-</v>
      </c>
      <c r="K57" s="78">
        <f t="shared" si="17"/>
        <v>8</v>
      </c>
      <c r="L57" s="6" t="str">
        <f t="shared" si="18"/>
        <v>-</v>
      </c>
      <c r="M57" s="136" t="str">
        <f t="shared" si="8"/>
        <v>-</v>
      </c>
      <c r="N57" s="6" t="str">
        <f t="shared" si="9"/>
        <v>-</v>
      </c>
      <c r="O57" s="136" t="str">
        <f t="shared" si="10"/>
        <v>-</v>
      </c>
      <c r="P57" s="78">
        <f t="shared" si="19"/>
        <v>8</v>
      </c>
      <c r="Q57" s="6" t="str">
        <f t="shared" si="20"/>
        <v>-</v>
      </c>
      <c r="R57" s="1" t="str">
        <f t="shared" si="11"/>
        <v>-</v>
      </c>
      <c r="S57" s="1" t="str">
        <f t="shared" si="12"/>
        <v>-</v>
      </c>
      <c r="U57" s="160" t="str">
        <f t="shared" si="13"/>
        <v>-</v>
      </c>
      <c r="V57" s="78">
        <f t="shared" ref="V57:V85" si="28">IF(A57&lt;&gt;"",8,"")</f>
        <v>8</v>
      </c>
      <c r="W57" s="78">
        <f t="shared" si="21"/>
        <v>20</v>
      </c>
      <c r="X57" s="159" t="str">
        <f t="shared" ref="X57:X59" si="29">IF(A57&lt;&gt;"",IF(U57="-","-",IF(ROUNDUP(U57/PI()/(V57/20)^2,0)=1,2,ROUNDUP(U57/PI()/(V57/20)^2,0))),"")</f>
        <v>-</v>
      </c>
      <c r="Y57" s="1" t="str">
        <f t="shared" si="22"/>
        <v>-</v>
      </c>
      <c r="Z57" s="160" t="str">
        <f t="shared" si="23"/>
        <v>-</v>
      </c>
      <c r="AA57" s="78">
        <f t="shared" si="24"/>
        <v>8</v>
      </c>
      <c r="AB57" s="1">
        <f t="shared" si="25"/>
        <v>20</v>
      </c>
      <c r="AC57" s="1" t="str">
        <f t="shared" si="26"/>
        <v>-</v>
      </c>
    </row>
    <row r="58" spans="1:29" x14ac:dyDescent="0.3">
      <c r="A58">
        <f t="shared" si="14"/>
        <v>4</v>
      </c>
      <c r="B58" t="str">
        <f t="shared" si="15"/>
        <v>DoWa</v>
      </c>
      <c r="C58" s="6" t="str">
        <f t="shared" si="3"/>
        <v>As1[cm2]</v>
      </c>
      <c r="D58" s="136">
        <f t="shared" si="4"/>
        <v>15.111962740941649</v>
      </c>
      <c r="E58" s="78">
        <f t="shared" si="27"/>
        <v>8</v>
      </c>
      <c r="F58" s="6">
        <f t="shared" si="16"/>
        <v>31</v>
      </c>
      <c r="G58" s="136">
        <f t="shared" si="5"/>
        <v>2.12</v>
      </c>
      <c r="I58" s="6" t="str">
        <f t="shared" si="6"/>
        <v>-</v>
      </c>
      <c r="J58" s="136" t="str">
        <f t="shared" si="7"/>
        <v>-</v>
      </c>
      <c r="K58" s="78">
        <f t="shared" si="17"/>
        <v>8</v>
      </c>
      <c r="L58" s="6" t="str">
        <f t="shared" si="18"/>
        <v>-</v>
      </c>
      <c r="M58" s="136" t="str">
        <f t="shared" si="8"/>
        <v>-</v>
      </c>
      <c r="N58" s="6" t="str">
        <f t="shared" si="9"/>
        <v>-</v>
      </c>
      <c r="O58" s="136" t="str">
        <f t="shared" si="10"/>
        <v>-</v>
      </c>
      <c r="P58" s="78">
        <f t="shared" si="19"/>
        <v>8</v>
      </c>
      <c r="Q58" s="6" t="str">
        <f t="shared" si="20"/>
        <v>-</v>
      </c>
      <c r="R58" s="1" t="str">
        <f t="shared" si="11"/>
        <v>-</v>
      </c>
      <c r="S58" s="1" t="str">
        <f t="shared" si="12"/>
        <v>-</v>
      </c>
      <c r="U58" s="160" t="str">
        <f t="shared" si="13"/>
        <v>-</v>
      </c>
      <c r="V58" s="78">
        <f t="shared" si="28"/>
        <v>8</v>
      </c>
      <c r="W58" s="78">
        <f t="shared" si="21"/>
        <v>20</v>
      </c>
      <c r="X58" s="159" t="str">
        <f t="shared" si="29"/>
        <v>-</v>
      </c>
      <c r="Y58" s="1" t="str">
        <f t="shared" si="22"/>
        <v>-</v>
      </c>
      <c r="Z58" s="160" t="str">
        <f t="shared" si="23"/>
        <v>-</v>
      </c>
      <c r="AA58" s="78">
        <f t="shared" si="24"/>
        <v>8</v>
      </c>
      <c r="AB58" s="1">
        <f t="shared" si="25"/>
        <v>20</v>
      </c>
      <c r="AC58" s="1" t="str">
        <f t="shared" si="26"/>
        <v>-</v>
      </c>
    </row>
    <row r="59" spans="1:29" x14ac:dyDescent="0.3">
      <c r="A59">
        <f t="shared" si="14"/>
        <v>5</v>
      </c>
      <c r="B59" t="str">
        <f t="shared" si="15"/>
        <v>DpM</v>
      </c>
      <c r="C59" s="6" t="str">
        <f t="shared" si="3"/>
        <v>As1[cm2]</v>
      </c>
      <c r="D59" s="136">
        <f t="shared" si="4"/>
        <v>17.284838885156283</v>
      </c>
      <c r="E59" s="78">
        <f t="shared" si="27"/>
        <v>8</v>
      </c>
      <c r="F59" s="6">
        <f t="shared" si="16"/>
        <v>35</v>
      </c>
      <c r="G59" s="136">
        <f t="shared" si="5"/>
        <v>1.7764705882352942</v>
      </c>
      <c r="I59" s="6" t="str">
        <f t="shared" si="6"/>
        <v>-</v>
      </c>
      <c r="J59" s="136" t="str">
        <f t="shared" si="7"/>
        <v>-</v>
      </c>
      <c r="K59" s="78">
        <f t="shared" si="17"/>
        <v>8</v>
      </c>
      <c r="L59" s="6" t="str">
        <f t="shared" si="18"/>
        <v>-</v>
      </c>
      <c r="M59" s="136" t="str">
        <f t="shared" si="8"/>
        <v>-</v>
      </c>
      <c r="N59" s="6" t="str">
        <f t="shared" si="9"/>
        <v>-</v>
      </c>
      <c r="O59" s="136" t="str">
        <f t="shared" si="10"/>
        <v>-</v>
      </c>
      <c r="P59" s="78">
        <f t="shared" si="19"/>
        <v>8</v>
      </c>
      <c r="Q59" s="6" t="str">
        <f t="shared" si="20"/>
        <v>-</v>
      </c>
      <c r="R59" s="1" t="str">
        <f t="shared" si="11"/>
        <v>-</v>
      </c>
      <c r="S59" s="1" t="str">
        <f t="shared" si="12"/>
        <v>-</v>
      </c>
      <c r="U59" s="160" t="str">
        <f t="shared" si="13"/>
        <v>-</v>
      </c>
      <c r="V59" s="78">
        <f t="shared" si="28"/>
        <v>8</v>
      </c>
      <c r="W59" s="78">
        <f t="shared" si="21"/>
        <v>20</v>
      </c>
      <c r="X59" s="159" t="str">
        <f t="shared" si="29"/>
        <v>-</v>
      </c>
      <c r="Y59" s="1" t="str">
        <f t="shared" si="22"/>
        <v>-</v>
      </c>
      <c r="Z59" s="160" t="str">
        <f t="shared" si="23"/>
        <v>-</v>
      </c>
      <c r="AA59" s="78">
        <f t="shared" si="24"/>
        <v>8</v>
      </c>
      <c r="AB59" s="1">
        <f t="shared" si="25"/>
        <v>20</v>
      </c>
      <c r="AC59" s="1" t="str">
        <f t="shared" si="26"/>
        <v>-</v>
      </c>
    </row>
    <row r="60" spans="1:29" x14ac:dyDescent="0.3">
      <c r="A60">
        <f t="shared" si="14"/>
        <v>6</v>
      </c>
      <c r="B60" t="str">
        <f t="shared" si="15"/>
        <v>DpE</v>
      </c>
      <c r="C60" s="6" t="str">
        <f t="shared" si="3"/>
        <v>As1[cm2]</v>
      </c>
      <c r="D60" s="136">
        <f t="shared" si="4"/>
        <v>12.731624978490716</v>
      </c>
      <c r="E60" s="78">
        <f t="shared" si="27"/>
        <v>8</v>
      </c>
      <c r="F60" s="6">
        <f t="shared" si="16"/>
        <v>26</v>
      </c>
      <c r="G60" s="136">
        <f t="shared" si="5"/>
        <v>2.6719999999999997</v>
      </c>
      <c r="I60" s="6" t="str">
        <f t="shared" si="6"/>
        <v>-</v>
      </c>
      <c r="J60" s="136" t="str">
        <f t="shared" si="7"/>
        <v>-</v>
      </c>
      <c r="K60" s="78">
        <f t="shared" si="17"/>
        <v>8</v>
      </c>
      <c r="L60" s="6" t="str">
        <f t="shared" si="18"/>
        <v>-</v>
      </c>
      <c r="M60" s="136" t="str">
        <f t="shared" si="8"/>
        <v>-</v>
      </c>
      <c r="N60" s="6" t="str">
        <f t="shared" si="9"/>
        <v>-</v>
      </c>
      <c r="O60" s="136" t="str">
        <f t="shared" si="10"/>
        <v>-</v>
      </c>
      <c r="P60" s="78">
        <f t="shared" si="19"/>
        <v>8</v>
      </c>
      <c r="Q60" s="6" t="str">
        <f t="shared" si="20"/>
        <v>-</v>
      </c>
      <c r="R60" s="1" t="str">
        <f t="shared" si="11"/>
        <v>-</v>
      </c>
      <c r="S60" s="1" t="str">
        <f t="shared" si="12"/>
        <v>Asw_loop[cm2/m]</v>
      </c>
      <c r="U60" s="160">
        <f>IF(A60&lt;&gt;"",IF(Q16&gt;0,X60*100/W60*PI()*(V60/20)^2,"-"),"")</f>
        <v>16.964600329384879</v>
      </c>
      <c r="V60" s="78">
        <v>12</v>
      </c>
      <c r="W60" s="78">
        <f t="shared" si="21"/>
        <v>20</v>
      </c>
      <c r="X60" s="159">
        <v>3</v>
      </c>
      <c r="Y60" s="1" t="str">
        <f t="shared" si="22"/>
        <v>-</v>
      </c>
      <c r="Z60" s="160" t="str">
        <f t="shared" si="23"/>
        <v>-</v>
      </c>
      <c r="AA60" s="78">
        <f t="shared" si="24"/>
        <v>8</v>
      </c>
      <c r="AB60" s="1">
        <f t="shared" si="25"/>
        <v>20</v>
      </c>
      <c r="AC60" s="1" t="str">
        <f t="shared" si="26"/>
        <v>-</v>
      </c>
    </row>
    <row r="61" spans="1:29" x14ac:dyDescent="0.3">
      <c r="A61" t="str">
        <f t="shared" si="14"/>
        <v/>
      </c>
      <c r="B61" t="str">
        <f t="shared" si="15"/>
        <v/>
      </c>
      <c r="C61" s="6" t="str">
        <f t="shared" si="3"/>
        <v/>
      </c>
      <c r="D61" s="136" t="str">
        <f t="shared" si="4"/>
        <v/>
      </c>
      <c r="E61" s="78" t="str">
        <f t="shared" si="27"/>
        <v/>
      </c>
      <c r="F61" s="6" t="str">
        <f t="shared" si="16"/>
        <v/>
      </c>
      <c r="G61" s="136" t="str">
        <f t="shared" si="5"/>
        <v/>
      </c>
      <c r="I61" s="6" t="str">
        <f t="shared" si="6"/>
        <v/>
      </c>
      <c r="J61" s="136" t="str">
        <f t="shared" si="7"/>
        <v/>
      </c>
      <c r="K61" s="78" t="str">
        <f t="shared" si="17"/>
        <v/>
      </c>
      <c r="L61" s="6" t="str">
        <f t="shared" si="18"/>
        <v/>
      </c>
      <c r="M61" s="136" t="str">
        <f t="shared" si="8"/>
        <v/>
      </c>
      <c r="N61" s="6" t="str">
        <f t="shared" si="9"/>
        <v/>
      </c>
      <c r="O61" s="136" t="str">
        <f t="shared" si="10"/>
        <v/>
      </c>
      <c r="P61" s="78" t="str">
        <f t="shared" si="19"/>
        <v/>
      </c>
      <c r="Q61" s="6" t="str">
        <f t="shared" si="20"/>
        <v/>
      </c>
      <c r="R61" s="1" t="str">
        <f t="shared" si="11"/>
        <v/>
      </c>
      <c r="S61" s="1" t="str">
        <f t="shared" si="12"/>
        <v/>
      </c>
      <c r="U61" s="160" t="str">
        <f t="shared" si="13"/>
        <v/>
      </c>
      <c r="V61" s="78" t="str">
        <f t="shared" si="28"/>
        <v/>
      </c>
      <c r="W61" s="78" t="str">
        <f t="shared" si="21"/>
        <v/>
      </c>
      <c r="X61" s="159" t="str">
        <f t="shared" ref="X61:X85" si="30">IF(A61&lt;&gt;"",IF(U61="-","-",IF(ROUNDUP(U61/PI()/(V61/20)^2,0)=1,2,ROUNDUP(U61/PI()/(V61/20)^2,0))),"")</f>
        <v/>
      </c>
      <c r="Y61" s="1" t="str">
        <f t="shared" si="22"/>
        <v/>
      </c>
      <c r="Z61" s="160" t="str">
        <f t="shared" si="23"/>
        <v/>
      </c>
      <c r="AA61" s="78" t="str">
        <f t="shared" si="24"/>
        <v/>
      </c>
      <c r="AB61" s="1" t="str">
        <f t="shared" si="25"/>
        <v/>
      </c>
      <c r="AC61" s="1" t="str">
        <f t="shared" si="26"/>
        <v/>
      </c>
    </row>
    <row r="62" spans="1:29" x14ac:dyDescent="0.3">
      <c r="A62" t="str">
        <f t="shared" si="14"/>
        <v/>
      </c>
      <c r="B62" t="str">
        <f t="shared" si="15"/>
        <v/>
      </c>
      <c r="C62" s="6" t="str">
        <f t="shared" si="3"/>
        <v/>
      </c>
      <c r="D62" s="136" t="str">
        <f t="shared" si="4"/>
        <v/>
      </c>
      <c r="E62" s="78" t="str">
        <f t="shared" si="27"/>
        <v/>
      </c>
      <c r="F62" s="6" t="str">
        <f t="shared" si="16"/>
        <v/>
      </c>
      <c r="G62" s="136" t="str">
        <f t="shared" si="5"/>
        <v/>
      </c>
      <c r="I62" s="6" t="str">
        <f t="shared" si="6"/>
        <v/>
      </c>
      <c r="J62" s="136" t="str">
        <f t="shared" si="7"/>
        <v/>
      </c>
      <c r="K62" s="78" t="str">
        <f t="shared" si="17"/>
        <v/>
      </c>
      <c r="L62" s="6" t="str">
        <f t="shared" si="18"/>
        <v/>
      </c>
      <c r="M62" s="136" t="str">
        <f t="shared" si="8"/>
        <v/>
      </c>
      <c r="N62" s="6" t="str">
        <f t="shared" si="9"/>
        <v/>
      </c>
      <c r="O62" s="136" t="str">
        <f t="shared" si="10"/>
        <v/>
      </c>
      <c r="P62" s="78" t="str">
        <f t="shared" si="19"/>
        <v/>
      </c>
      <c r="Q62" s="6" t="str">
        <f t="shared" si="20"/>
        <v/>
      </c>
      <c r="R62" s="1" t="str">
        <f t="shared" si="11"/>
        <v/>
      </c>
      <c r="S62" s="1" t="str">
        <f t="shared" si="12"/>
        <v/>
      </c>
      <c r="U62" s="160" t="str">
        <f t="shared" si="13"/>
        <v/>
      </c>
      <c r="V62" s="78" t="str">
        <f t="shared" si="28"/>
        <v/>
      </c>
      <c r="W62" s="78" t="str">
        <f t="shared" si="21"/>
        <v/>
      </c>
      <c r="X62" s="159" t="str">
        <f t="shared" si="30"/>
        <v/>
      </c>
      <c r="Y62" s="1" t="str">
        <f t="shared" si="22"/>
        <v/>
      </c>
      <c r="Z62" s="160" t="str">
        <f t="shared" si="23"/>
        <v/>
      </c>
      <c r="AA62" s="78" t="str">
        <f t="shared" si="24"/>
        <v/>
      </c>
      <c r="AB62" s="1" t="str">
        <f t="shared" si="25"/>
        <v/>
      </c>
      <c r="AC62" s="1" t="str">
        <f t="shared" si="26"/>
        <v/>
      </c>
    </row>
    <row r="63" spans="1:29" x14ac:dyDescent="0.3">
      <c r="A63" t="str">
        <f t="shared" si="14"/>
        <v/>
      </c>
      <c r="B63" t="str">
        <f t="shared" si="15"/>
        <v/>
      </c>
      <c r="C63" s="6" t="str">
        <f t="shared" si="3"/>
        <v/>
      </c>
      <c r="D63" s="136" t="str">
        <f t="shared" si="4"/>
        <v/>
      </c>
      <c r="E63" s="78" t="str">
        <f t="shared" si="27"/>
        <v/>
      </c>
      <c r="F63" s="6" t="str">
        <f t="shared" si="16"/>
        <v/>
      </c>
      <c r="G63" s="136" t="str">
        <f t="shared" si="5"/>
        <v/>
      </c>
      <c r="I63" s="6" t="str">
        <f t="shared" si="6"/>
        <v/>
      </c>
      <c r="J63" s="136" t="str">
        <f t="shared" si="7"/>
        <v/>
      </c>
      <c r="K63" s="78" t="str">
        <f t="shared" si="17"/>
        <v/>
      </c>
      <c r="L63" s="6" t="str">
        <f t="shared" si="18"/>
        <v/>
      </c>
      <c r="M63" s="136" t="str">
        <f t="shared" si="8"/>
        <v/>
      </c>
      <c r="N63" s="6" t="str">
        <f t="shared" si="9"/>
        <v/>
      </c>
      <c r="O63" s="136" t="str">
        <f t="shared" si="10"/>
        <v/>
      </c>
      <c r="P63" s="78" t="str">
        <f t="shared" si="19"/>
        <v/>
      </c>
      <c r="Q63" s="6" t="str">
        <f t="shared" si="20"/>
        <v/>
      </c>
      <c r="R63" s="1" t="str">
        <f t="shared" si="11"/>
        <v/>
      </c>
      <c r="S63" s="1" t="str">
        <f t="shared" si="12"/>
        <v/>
      </c>
      <c r="U63" s="160" t="str">
        <f t="shared" si="13"/>
        <v/>
      </c>
      <c r="V63" s="78" t="str">
        <f t="shared" si="28"/>
        <v/>
      </c>
      <c r="W63" s="78" t="str">
        <f t="shared" si="21"/>
        <v/>
      </c>
      <c r="X63" s="159" t="str">
        <f t="shared" si="30"/>
        <v/>
      </c>
      <c r="Y63" s="1" t="str">
        <f t="shared" si="22"/>
        <v/>
      </c>
      <c r="Z63" s="160" t="str">
        <f t="shared" si="23"/>
        <v/>
      </c>
      <c r="AA63" s="78" t="str">
        <f t="shared" si="24"/>
        <v/>
      </c>
      <c r="AB63" s="1" t="str">
        <f t="shared" si="25"/>
        <v/>
      </c>
      <c r="AC63" s="1" t="str">
        <f t="shared" si="26"/>
        <v/>
      </c>
    </row>
    <row r="64" spans="1:29" x14ac:dyDescent="0.3">
      <c r="A64" t="str">
        <f t="shared" si="14"/>
        <v/>
      </c>
      <c r="B64" t="str">
        <f t="shared" si="15"/>
        <v/>
      </c>
      <c r="C64" s="6" t="str">
        <f t="shared" si="3"/>
        <v/>
      </c>
      <c r="D64" s="136" t="str">
        <f t="shared" si="4"/>
        <v/>
      </c>
      <c r="E64" s="78" t="str">
        <f t="shared" si="27"/>
        <v/>
      </c>
      <c r="F64" s="6" t="str">
        <f t="shared" si="16"/>
        <v/>
      </c>
      <c r="G64" s="136" t="str">
        <f t="shared" si="5"/>
        <v/>
      </c>
      <c r="I64" s="6" t="str">
        <f t="shared" si="6"/>
        <v/>
      </c>
      <c r="J64" s="136" t="str">
        <f t="shared" si="7"/>
        <v/>
      </c>
      <c r="K64" s="78" t="str">
        <f t="shared" si="17"/>
        <v/>
      </c>
      <c r="L64" s="6" t="str">
        <f t="shared" si="18"/>
        <v/>
      </c>
      <c r="M64" s="136" t="str">
        <f t="shared" si="8"/>
        <v/>
      </c>
      <c r="N64" s="6" t="str">
        <f t="shared" si="9"/>
        <v/>
      </c>
      <c r="O64" s="136" t="str">
        <f t="shared" si="10"/>
        <v/>
      </c>
      <c r="P64" s="78" t="str">
        <f t="shared" si="19"/>
        <v/>
      </c>
      <c r="Q64" s="6" t="str">
        <f t="shared" si="20"/>
        <v/>
      </c>
      <c r="R64" s="1" t="str">
        <f t="shared" si="11"/>
        <v/>
      </c>
      <c r="S64" s="1" t="str">
        <f t="shared" si="12"/>
        <v/>
      </c>
      <c r="U64" s="160" t="str">
        <f t="shared" si="13"/>
        <v/>
      </c>
      <c r="V64" s="78" t="str">
        <f t="shared" si="28"/>
        <v/>
      </c>
      <c r="W64" s="78" t="str">
        <f t="shared" si="21"/>
        <v/>
      </c>
      <c r="X64" s="159" t="str">
        <f t="shared" si="30"/>
        <v/>
      </c>
      <c r="Y64" s="1" t="str">
        <f t="shared" si="22"/>
        <v/>
      </c>
      <c r="Z64" s="160" t="str">
        <f t="shared" si="23"/>
        <v/>
      </c>
      <c r="AA64" s="78" t="str">
        <f t="shared" si="24"/>
        <v/>
      </c>
      <c r="AB64" s="1" t="str">
        <f t="shared" si="25"/>
        <v/>
      </c>
      <c r="AC64" s="1" t="str">
        <f t="shared" si="26"/>
        <v/>
      </c>
    </row>
    <row r="65" spans="1:29" x14ac:dyDescent="0.3">
      <c r="A65" t="str">
        <f t="shared" si="14"/>
        <v/>
      </c>
      <c r="B65" t="str">
        <f t="shared" si="15"/>
        <v/>
      </c>
      <c r="C65" s="6" t="str">
        <f t="shared" si="3"/>
        <v/>
      </c>
      <c r="D65" s="136" t="str">
        <f t="shared" si="4"/>
        <v/>
      </c>
      <c r="E65" s="78" t="str">
        <f t="shared" si="27"/>
        <v/>
      </c>
      <c r="F65" s="6" t="str">
        <f t="shared" si="16"/>
        <v/>
      </c>
      <c r="G65" s="136" t="str">
        <f t="shared" si="5"/>
        <v/>
      </c>
      <c r="I65" s="6" t="str">
        <f t="shared" si="6"/>
        <v/>
      </c>
      <c r="J65" s="136" t="str">
        <f t="shared" si="7"/>
        <v/>
      </c>
      <c r="K65" s="78" t="str">
        <f t="shared" si="17"/>
        <v/>
      </c>
      <c r="L65" s="6" t="str">
        <f t="shared" si="18"/>
        <v/>
      </c>
      <c r="M65" s="136" t="str">
        <f t="shared" si="8"/>
        <v/>
      </c>
      <c r="N65" s="6" t="str">
        <f t="shared" si="9"/>
        <v/>
      </c>
      <c r="O65" s="136" t="str">
        <f t="shared" si="10"/>
        <v/>
      </c>
      <c r="P65" s="78" t="str">
        <f t="shared" si="19"/>
        <v/>
      </c>
      <c r="Q65" s="6" t="str">
        <f t="shared" si="20"/>
        <v/>
      </c>
      <c r="R65" s="1" t="str">
        <f t="shared" si="11"/>
        <v/>
      </c>
      <c r="S65" s="1" t="str">
        <f t="shared" si="12"/>
        <v/>
      </c>
      <c r="U65" s="160" t="str">
        <f t="shared" si="13"/>
        <v/>
      </c>
      <c r="V65" s="78" t="str">
        <f t="shared" si="28"/>
        <v/>
      </c>
      <c r="W65" s="78" t="str">
        <f t="shared" si="21"/>
        <v/>
      </c>
      <c r="X65" s="159" t="str">
        <f t="shared" si="30"/>
        <v/>
      </c>
      <c r="Y65" s="1" t="str">
        <f t="shared" si="22"/>
        <v/>
      </c>
      <c r="Z65" s="160" t="str">
        <f t="shared" si="23"/>
        <v/>
      </c>
      <c r="AA65" s="78" t="str">
        <f t="shared" si="24"/>
        <v/>
      </c>
      <c r="AB65" s="1" t="str">
        <f t="shared" si="25"/>
        <v/>
      </c>
      <c r="AC65" s="1" t="str">
        <f t="shared" si="26"/>
        <v/>
      </c>
    </row>
    <row r="66" spans="1:29" x14ac:dyDescent="0.3">
      <c r="A66" t="str">
        <f t="shared" si="14"/>
        <v/>
      </c>
      <c r="B66" t="str">
        <f t="shared" si="15"/>
        <v/>
      </c>
      <c r="C66" s="6" t="str">
        <f t="shared" si="3"/>
        <v/>
      </c>
      <c r="D66" s="136" t="str">
        <f t="shared" si="4"/>
        <v/>
      </c>
      <c r="E66" s="78" t="str">
        <f t="shared" si="27"/>
        <v/>
      </c>
      <c r="F66" s="6" t="str">
        <f t="shared" si="16"/>
        <v/>
      </c>
      <c r="G66" s="136" t="str">
        <f t="shared" si="5"/>
        <v/>
      </c>
      <c r="I66" s="6" t="str">
        <f t="shared" si="6"/>
        <v/>
      </c>
      <c r="J66" s="136" t="str">
        <f t="shared" si="7"/>
        <v/>
      </c>
      <c r="K66" s="78" t="str">
        <f t="shared" si="17"/>
        <v/>
      </c>
      <c r="L66" s="6" t="str">
        <f t="shared" si="18"/>
        <v/>
      </c>
      <c r="M66" s="136" t="str">
        <f t="shared" si="8"/>
        <v/>
      </c>
      <c r="N66" s="6" t="str">
        <f t="shared" si="9"/>
        <v/>
      </c>
      <c r="O66" s="136" t="str">
        <f t="shared" si="10"/>
        <v/>
      </c>
      <c r="P66" s="78" t="str">
        <f t="shared" si="19"/>
        <v/>
      </c>
      <c r="Q66" s="6" t="str">
        <f t="shared" si="20"/>
        <v/>
      </c>
      <c r="R66" s="1" t="str">
        <f t="shared" si="11"/>
        <v/>
      </c>
      <c r="S66" s="1" t="str">
        <f t="shared" si="12"/>
        <v/>
      </c>
      <c r="U66" s="160" t="str">
        <f t="shared" si="13"/>
        <v/>
      </c>
      <c r="V66" s="78" t="str">
        <f t="shared" si="28"/>
        <v/>
      </c>
      <c r="W66" s="78" t="str">
        <f t="shared" si="21"/>
        <v/>
      </c>
      <c r="X66" s="159" t="str">
        <f t="shared" si="30"/>
        <v/>
      </c>
      <c r="Y66" s="1" t="str">
        <f t="shared" si="22"/>
        <v/>
      </c>
      <c r="Z66" s="160" t="str">
        <f t="shared" si="23"/>
        <v/>
      </c>
      <c r="AA66" s="78" t="str">
        <f t="shared" si="24"/>
        <v/>
      </c>
      <c r="AB66" s="1" t="str">
        <f t="shared" si="25"/>
        <v/>
      </c>
      <c r="AC66" s="1" t="str">
        <f t="shared" si="26"/>
        <v/>
      </c>
    </row>
    <row r="67" spans="1:29" x14ac:dyDescent="0.3">
      <c r="A67" t="str">
        <f t="shared" si="14"/>
        <v/>
      </c>
      <c r="B67" t="str">
        <f t="shared" si="15"/>
        <v/>
      </c>
      <c r="C67" s="6" t="str">
        <f t="shared" si="3"/>
        <v/>
      </c>
      <c r="D67" s="136" t="str">
        <f t="shared" si="4"/>
        <v/>
      </c>
      <c r="E67" s="78" t="str">
        <f t="shared" si="27"/>
        <v/>
      </c>
      <c r="F67" s="6" t="str">
        <f t="shared" si="16"/>
        <v/>
      </c>
      <c r="G67" s="136" t="str">
        <f t="shared" si="5"/>
        <v/>
      </c>
      <c r="I67" s="6" t="str">
        <f t="shared" si="6"/>
        <v/>
      </c>
      <c r="J67" s="136" t="str">
        <f t="shared" si="7"/>
        <v/>
      </c>
      <c r="K67" s="78" t="str">
        <f t="shared" si="17"/>
        <v/>
      </c>
      <c r="L67" s="6" t="str">
        <f t="shared" si="18"/>
        <v/>
      </c>
      <c r="M67" s="136" t="str">
        <f t="shared" si="8"/>
        <v/>
      </c>
      <c r="N67" s="6" t="str">
        <f t="shared" si="9"/>
        <v/>
      </c>
      <c r="O67" s="136" t="str">
        <f t="shared" si="10"/>
        <v/>
      </c>
      <c r="P67" s="78" t="str">
        <f t="shared" si="19"/>
        <v/>
      </c>
      <c r="Q67" s="6" t="str">
        <f t="shared" si="20"/>
        <v/>
      </c>
      <c r="R67" s="1" t="str">
        <f t="shared" si="11"/>
        <v/>
      </c>
      <c r="S67" s="1" t="str">
        <f t="shared" si="12"/>
        <v/>
      </c>
      <c r="U67" s="160" t="str">
        <f t="shared" si="13"/>
        <v/>
      </c>
      <c r="V67" s="78" t="str">
        <f t="shared" si="28"/>
        <v/>
      </c>
      <c r="W67" s="78" t="str">
        <f t="shared" si="21"/>
        <v/>
      </c>
      <c r="X67" s="159" t="str">
        <f t="shared" si="30"/>
        <v/>
      </c>
      <c r="Y67" s="1" t="str">
        <f t="shared" si="22"/>
        <v/>
      </c>
      <c r="Z67" s="160" t="str">
        <f t="shared" si="23"/>
        <v/>
      </c>
      <c r="AA67" s="78" t="str">
        <f t="shared" si="24"/>
        <v/>
      </c>
      <c r="AB67" s="1" t="str">
        <f t="shared" si="25"/>
        <v/>
      </c>
      <c r="AC67" s="1" t="str">
        <f t="shared" si="26"/>
        <v/>
      </c>
    </row>
    <row r="68" spans="1:29" x14ac:dyDescent="0.3">
      <c r="A68" t="str">
        <f t="shared" si="14"/>
        <v/>
      </c>
      <c r="B68" t="str">
        <f t="shared" si="15"/>
        <v/>
      </c>
      <c r="C68" s="6" t="str">
        <f t="shared" si="3"/>
        <v/>
      </c>
      <c r="D68" s="136" t="str">
        <f t="shared" si="4"/>
        <v/>
      </c>
      <c r="E68" s="78" t="str">
        <f t="shared" si="27"/>
        <v/>
      </c>
      <c r="F68" s="6" t="str">
        <f t="shared" si="16"/>
        <v/>
      </c>
      <c r="G68" s="136" t="str">
        <f t="shared" si="5"/>
        <v/>
      </c>
      <c r="I68" s="6" t="str">
        <f t="shared" si="6"/>
        <v/>
      </c>
      <c r="J68" s="136" t="str">
        <f t="shared" si="7"/>
        <v/>
      </c>
      <c r="K68" s="78" t="str">
        <f t="shared" si="17"/>
        <v/>
      </c>
      <c r="L68" s="6" t="str">
        <f t="shared" si="18"/>
        <v/>
      </c>
      <c r="M68" s="136" t="str">
        <f t="shared" si="8"/>
        <v/>
      </c>
      <c r="N68" s="6" t="str">
        <f t="shared" si="9"/>
        <v/>
      </c>
      <c r="O68" s="136" t="str">
        <f t="shared" si="10"/>
        <v/>
      </c>
      <c r="P68" s="78" t="str">
        <f t="shared" si="19"/>
        <v/>
      </c>
      <c r="Q68" s="6" t="str">
        <f t="shared" si="20"/>
        <v/>
      </c>
      <c r="R68" s="1" t="str">
        <f t="shared" si="11"/>
        <v/>
      </c>
      <c r="S68" s="1" t="str">
        <f t="shared" si="12"/>
        <v/>
      </c>
      <c r="U68" s="160" t="str">
        <f t="shared" si="13"/>
        <v/>
      </c>
      <c r="V68" s="78" t="str">
        <f t="shared" si="28"/>
        <v/>
      </c>
      <c r="W68" s="78" t="str">
        <f t="shared" si="21"/>
        <v/>
      </c>
      <c r="X68" s="159" t="str">
        <f t="shared" si="30"/>
        <v/>
      </c>
      <c r="Y68" s="1" t="str">
        <f t="shared" si="22"/>
        <v/>
      </c>
      <c r="Z68" s="160" t="str">
        <f t="shared" si="23"/>
        <v/>
      </c>
      <c r="AA68" s="78" t="str">
        <f t="shared" si="24"/>
        <v/>
      </c>
      <c r="AB68" s="1" t="str">
        <f t="shared" si="25"/>
        <v/>
      </c>
      <c r="AC68" s="1" t="str">
        <f t="shared" si="26"/>
        <v/>
      </c>
    </row>
    <row r="69" spans="1:29" x14ac:dyDescent="0.3">
      <c r="A69" t="str">
        <f t="shared" si="14"/>
        <v/>
      </c>
      <c r="B69" t="str">
        <f t="shared" si="15"/>
        <v/>
      </c>
      <c r="C69" s="6" t="str">
        <f t="shared" si="3"/>
        <v/>
      </c>
      <c r="D69" s="136" t="str">
        <f t="shared" si="4"/>
        <v/>
      </c>
      <c r="E69" s="78" t="str">
        <f t="shared" si="27"/>
        <v/>
      </c>
      <c r="F69" s="6" t="str">
        <f t="shared" si="16"/>
        <v/>
      </c>
      <c r="G69" s="136" t="str">
        <f t="shared" si="5"/>
        <v/>
      </c>
      <c r="I69" s="6" t="str">
        <f t="shared" si="6"/>
        <v/>
      </c>
      <c r="J69" s="136" t="str">
        <f t="shared" si="7"/>
        <v/>
      </c>
      <c r="K69" s="78" t="str">
        <f t="shared" si="17"/>
        <v/>
      </c>
      <c r="L69" s="6" t="str">
        <f t="shared" si="18"/>
        <v/>
      </c>
      <c r="M69" s="136" t="str">
        <f t="shared" si="8"/>
        <v/>
      </c>
      <c r="N69" s="6" t="str">
        <f t="shared" si="9"/>
        <v/>
      </c>
      <c r="O69" s="136" t="str">
        <f t="shared" si="10"/>
        <v/>
      </c>
      <c r="P69" s="78" t="str">
        <f t="shared" si="19"/>
        <v/>
      </c>
      <c r="Q69" s="6" t="str">
        <f t="shared" si="20"/>
        <v/>
      </c>
      <c r="R69" s="1" t="str">
        <f t="shared" si="11"/>
        <v/>
      </c>
      <c r="S69" s="1" t="str">
        <f t="shared" si="12"/>
        <v/>
      </c>
      <c r="U69" s="160" t="str">
        <f t="shared" si="13"/>
        <v/>
      </c>
      <c r="V69" s="78" t="str">
        <f t="shared" si="28"/>
        <v/>
      </c>
      <c r="W69" s="78" t="str">
        <f t="shared" si="21"/>
        <v/>
      </c>
      <c r="X69" s="159" t="str">
        <f t="shared" si="30"/>
        <v/>
      </c>
      <c r="Y69" s="1" t="str">
        <f t="shared" si="22"/>
        <v/>
      </c>
      <c r="Z69" s="160" t="str">
        <f t="shared" si="23"/>
        <v/>
      </c>
      <c r="AA69" s="78" t="str">
        <f t="shared" si="24"/>
        <v/>
      </c>
      <c r="AB69" s="1" t="str">
        <f t="shared" si="25"/>
        <v/>
      </c>
      <c r="AC69" s="1" t="str">
        <f t="shared" si="26"/>
        <v/>
      </c>
    </row>
    <row r="70" spans="1:29" x14ac:dyDescent="0.3">
      <c r="A70" t="str">
        <f t="shared" si="14"/>
        <v/>
      </c>
      <c r="B70" t="str">
        <f t="shared" si="15"/>
        <v/>
      </c>
      <c r="C70" s="6" t="str">
        <f t="shared" si="3"/>
        <v/>
      </c>
      <c r="D70" s="136" t="str">
        <f t="shared" si="4"/>
        <v/>
      </c>
      <c r="E70" s="78" t="str">
        <f t="shared" si="27"/>
        <v/>
      </c>
      <c r="F70" s="6" t="str">
        <f t="shared" si="16"/>
        <v/>
      </c>
      <c r="G70" s="136" t="str">
        <f t="shared" si="5"/>
        <v/>
      </c>
      <c r="I70" s="6" t="str">
        <f t="shared" si="6"/>
        <v/>
      </c>
      <c r="J70" s="136" t="str">
        <f t="shared" si="7"/>
        <v/>
      </c>
      <c r="K70" s="78" t="str">
        <f t="shared" si="17"/>
        <v/>
      </c>
      <c r="L70" s="6" t="str">
        <f t="shared" si="18"/>
        <v/>
      </c>
      <c r="M70" s="136" t="str">
        <f t="shared" si="8"/>
        <v/>
      </c>
      <c r="N70" s="6" t="str">
        <f t="shared" si="9"/>
        <v/>
      </c>
      <c r="O70" s="136" t="str">
        <f t="shared" si="10"/>
        <v/>
      </c>
      <c r="P70" s="78" t="str">
        <f t="shared" si="19"/>
        <v/>
      </c>
      <c r="Q70" s="6" t="str">
        <f t="shared" si="20"/>
        <v/>
      </c>
      <c r="R70" s="1" t="str">
        <f t="shared" si="11"/>
        <v/>
      </c>
      <c r="S70" s="1" t="str">
        <f t="shared" si="12"/>
        <v/>
      </c>
      <c r="U70" s="160" t="str">
        <f t="shared" si="13"/>
        <v/>
      </c>
      <c r="V70" s="78" t="str">
        <f t="shared" si="28"/>
        <v/>
      </c>
      <c r="W70" s="78" t="str">
        <f t="shared" si="21"/>
        <v/>
      </c>
      <c r="X70" s="159" t="str">
        <f t="shared" si="30"/>
        <v/>
      </c>
      <c r="Y70" s="1" t="str">
        <f t="shared" si="22"/>
        <v/>
      </c>
      <c r="Z70" s="160" t="str">
        <f t="shared" si="23"/>
        <v/>
      </c>
      <c r="AA70" s="78" t="str">
        <f t="shared" si="24"/>
        <v/>
      </c>
      <c r="AB70" s="1" t="str">
        <f t="shared" si="25"/>
        <v/>
      </c>
      <c r="AC70" s="1" t="str">
        <f t="shared" si="26"/>
        <v/>
      </c>
    </row>
    <row r="71" spans="1:29" x14ac:dyDescent="0.3">
      <c r="A71" t="str">
        <f t="shared" si="14"/>
        <v/>
      </c>
      <c r="B71" t="str">
        <f t="shared" si="15"/>
        <v/>
      </c>
      <c r="C71" s="6" t="str">
        <f t="shared" si="3"/>
        <v/>
      </c>
      <c r="D71" s="136" t="str">
        <f t="shared" si="4"/>
        <v/>
      </c>
      <c r="E71" s="78" t="str">
        <f t="shared" si="27"/>
        <v/>
      </c>
      <c r="F71" s="6" t="str">
        <f t="shared" si="16"/>
        <v/>
      </c>
      <c r="G71" s="136" t="str">
        <f t="shared" si="5"/>
        <v/>
      </c>
      <c r="I71" s="6" t="str">
        <f t="shared" si="6"/>
        <v/>
      </c>
      <c r="J71" s="136" t="str">
        <f t="shared" si="7"/>
        <v/>
      </c>
      <c r="K71" s="78" t="str">
        <f t="shared" si="17"/>
        <v/>
      </c>
      <c r="L71" s="6" t="str">
        <f t="shared" si="18"/>
        <v/>
      </c>
      <c r="M71" s="136" t="str">
        <f t="shared" si="8"/>
        <v/>
      </c>
      <c r="N71" s="6" t="str">
        <f t="shared" si="9"/>
        <v/>
      </c>
      <c r="O71" s="136" t="str">
        <f t="shared" si="10"/>
        <v/>
      </c>
      <c r="P71" s="78" t="str">
        <f t="shared" si="19"/>
        <v/>
      </c>
      <c r="Q71" s="6" t="str">
        <f t="shared" si="20"/>
        <v/>
      </c>
      <c r="R71" s="1" t="str">
        <f t="shared" si="11"/>
        <v/>
      </c>
      <c r="S71" s="1" t="str">
        <f t="shared" si="12"/>
        <v/>
      </c>
      <c r="U71" s="160" t="str">
        <f t="shared" si="13"/>
        <v/>
      </c>
      <c r="V71" s="78" t="str">
        <f t="shared" si="28"/>
        <v/>
      </c>
      <c r="W71" s="78" t="str">
        <f t="shared" si="21"/>
        <v/>
      </c>
      <c r="X71" s="159" t="str">
        <f t="shared" si="30"/>
        <v/>
      </c>
      <c r="Y71" s="1" t="str">
        <f t="shared" si="22"/>
        <v/>
      </c>
      <c r="Z71" s="160" t="str">
        <f t="shared" si="23"/>
        <v/>
      </c>
      <c r="AA71" s="78" t="str">
        <f t="shared" si="24"/>
        <v/>
      </c>
      <c r="AB71" s="1" t="str">
        <f t="shared" si="25"/>
        <v/>
      </c>
      <c r="AC71" s="1" t="str">
        <f t="shared" si="26"/>
        <v/>
      </c>
    </row>
    <row r="72" spans="1:29" x14ac:dyDescent="0.3">
      <c r="A72" t="str">
        <f t="shared" si="14"/>
        <v/>
      </c>
      <c r="B72" t="str">
        <f t="shared" si="15"/>
        <v/>
      </c>
      <c r="C72" s="6" t="str">
        <f t="shared" si="3"/>
        <v/>
      </c>
      <c r="D72" s="136" t="str">
        <f t="shared" si="4"/>
        <v/>
      </c>
      <c r="E72" s="78" t="str">
        <f t="shared" si="27"/>
        <v/>
      </c>
      <c r="F72" s="6" t="str">
        <f t="shared" si="16"/>
        <v/>
      </c>
      <c r="G72" s="136" t="str">
        <f t="shared" si="5"/>
        <v/>
      </c>
      <c r="I72" s="6" t="str">
        <f t="shared" si="6"/>
        <v/>
      </c>
      <c r="J72" s="136" t="str">
        <f t="shared" si="7"/>
        <v/>
      </c>
      <c r="K72" s="78" t="str">
        <f t="shared" si="17"/>
        <v/>
      </c>
      <c r="L72" s="6" t="str">
        <f t="shared" si="18"/>
        <v/>
      </c>
      <c r="M72" s="136" t="str">
        <f t="shared" si="8"/>
        <v/>
      </c>
      <c r="N72" s="6" t="str">
        <f t="shared" si="9"/>
        <v/>
      </c>
      <c r="O72" s="136" t="str">
        <f t="shared" si="10"/>
        <v/>
      </c>
      <c r="P72" s="78" t="str">
        <f t="shared" si="19"/>
        <v/>
      </c>
      <c r="Q72" s="6" t="str">
        <f t="shared" si="20"/>
        <v/>
      </c>
      <c r="R72" s="1" t="str">
        <f t="shared" si="11"/>
        <v/>
      </c>
      <c r="S72" s="1" t="str">
        <f t="shared" si="12"/>
        <v/>
      </c>
      <c r="U72" s="160" t="str">
        <f t="shared" si="13"/>
        <v/>
      </c>
      <c r="V72" s="78" t="str">
        <f t="shared" si="28"/>
        <v/>
      </c>
      <c r="W72" s="78" t="str">
        <f t="shared" si="21"/>
        <v/>
      </c>
      <c r="X72" s="159" t="str">
        <f t="shared" si="30"/>
        <v/>
      </c>
      <c r="Y72" s="1" t="str">
        <f t="shared" si="22"/>
        <v/>
      </c>
      <c r="Z72" s="160" t="str">
        <f t="shared" si="23"/>
        <v/>
      </c>
      <c r="AA72" s="78" t="str">
        <f t="shared" si="24"/>
        <v/>
      </c>
      <c r="AB72" s="1" t="str">
        <f t="shared" si="25"/>
        <v/>
      </c>
      <c r="AC72" s="1" t="str">
        <f t="shared" si="26"/>
        <v/>
      </c>
    </row>
    <row r="73" spans="1:29" x14ac:dyDescent="0.3">
      <c r="A73" t="str">
        <f t="shared" si="14"/>
        <v/>
      </c>
      <c r="B73" t="str">
        <f t="shared" si="15"/>
        <v/>
      </c>
      <c r="C73" s="6" t="str">
        <f t="shared" si="3"/>
        <v/>
      </c>
      <c r="D73" s="136" t="str">
        <f t="shared" si="4"/>
        <v/>
      </c>
      <c r="E73" s="78" t="str">
        <f t="shared" si="27"/>
        <v/>
      </c>
      <c r="F73" s="6" t="str">
        <f t="shared" si="16"/>
        <v/>
      </c>
      <c r="G73" s="136" t="str">
        <f t="shared" si="5"/>
        <v/>
      </c>
      <c r="I73" s="6" t="str">
        <f t="shared" si="6"/>
        <v/>
      </c>
      <c r="J73" s="136" t="str">
        <f t="shared" si="7"/>
        <v/>
      </c>
      <c r="K73" s="78" t="str">
        <f t="shared" si="17"/>
        <v/>
      </c>
      <c r="L73" s="6" t="str">
        <f t="shared" si="18"/>
        <v/>
      </c>
      <c r="M73" s="136" t="str">
        <f t="shared" si="8"/>
        <v/>
      </c>
      <c r="N73" s="6" t="str">
        <f t="shared" si="9"/>
        <v/>
      </c>
      <c r="O73" s="136" t="str">
        <f t="shared" si="10"/>
        <v/>
      </c>
      <c r="P73" s="78" t="str">
        <f t="shared" si="19"/>
        <v/>
      </c>
      <c r="Q73" s="6" t="str">
        <f t="shared" si="20"/>
        <v/>
      </c>
      <c r="R73" s="1" t="str">
        <f t="shared" si="11"/>
        <v/>
      </c>
      <c r="S73" s="1" t="str">
        <f t="shared" si="12"/>
        <v/>
      </c>
      <c r="U73" s="160" t="str">
        <f t="shared" si="13"/>
        <v/>
      </c>
      <c r="V73" s="78" t="str">
        <f t="shared" si="28"/>
        <v/>
      </c>
      <c r="W73" s="78" t="str">
        <f t="shared" si="21"/>
        <v/>
      </c>
      <c r="X73" s="159" t="str">
        <f t="shared" si="30"/>
        <v/>
      </c>
      <c r="Y73" s="1" t="str">
        <f t="shared" si="22"/>
        <v/>
      </c>
      <c r="Z73" s="160" t="str">
        <f t="shared" si="23"/>
        <v/>
      </c>
      <c r="AA73" s="78" t="str">
        <f t="shared" si="24"/>
        <v/>
      </c>
      <c r="AB73" s="1" t="str">
        <f t="shared" si="25"/>
        <v/>
      </c>
      <c r="AC73" s="1" t="str">
        <f t="shared" si="26"/>
        <v/>
      </c>
    </row>
    <row r="74" spans="1:29" x14ac:dyDescent="0.3">
      <c r="A74" t="str">
        <f t="shared" si="14"/>
        <v/>
      </c>
      <c r="B74" t="str">
        <f t="shared" si="15"/>
        <v/>
      </c>
      <c r="C74" s="6" t="str">
        <f t="shared" si="3"/>
        <v/>
      </c>
      <c r="D74" s="136" t="str">
        <f t="shared" si="4"/>
        <v/>
      </c>
      <c r="E74" s="78" t="str">
        <f t="shared" si="27"/>
        <v/>
      </c>
      <c r="F74" s="6" t="str">
        <f t="shared" si="16"/>
        <v/>
      </c>
      <c r="G74" s="136" t="str">
        <f t="shared" si="5"/>
        <v/>
      </c>
      <c r="I74" s="6" t="str">
        <f t="shared" si="6"/>
        <v/>
      </c>
      <c r="J74" s="136" t="str">
        <f t="shared" si="7"/>
        <v/>
      </c>
      <c r="K74" s="78" t="str">
        <f t="shared" si="17"/>
        <v/>
      </c>
      <c r="L74" s="6" t="str">
        <f t="shared" si="18"/>
        <v/>
      </c>
      <c r="M74" s="136" t="str">
        <f t="shared" si="8"/>
        <v/>
      </c>
      <c r="N74" s="6" t="str">
        <f t="shared" si="9"/>
        <v/>
      </c>
      <c r="O74" s="136" t="str">
        <f t="shared" si="10"/>
        <v/>
      </c>
      <c r="P74" s="78" t="str">
        <f t="shared" si="19"/>
        <v/>
      </c>
      <c r="Q74" s="6" t="str">
        <f t="shared" si="20"/>
        <v/>
      </c>
      <c r="R74" s="1" t="str">
        <f t="shared" si="11"/>
        <v/>
      </c>
      <c r="S74" s="1" t="str">
        <f t="shared" si="12"/>
        <v/>
      </c>
      <c r="U74" s="160" t="str">
        <f t="shared" si="13"/>
        <v/>
      </c>
      <c r="V74" s="78" t="str">
        <f t="shared" si="28"/>
        <v/>
      </c>
      <c r="W74" s="78" t="str">
        <f t="shared" si="21"/>
        <v/>
      </c>
      <c r="X74" s="159" t="str">
        <f t="shared" si="30"/>
        <v/>
      </c>
      <c r="Y74" s="1" t="str">
        <f t="shared" si="22"/>
        <v/>
      </c>
      <c r="Z74" s="160" t="str">
        <f t="shared" si="23"/>
        <v/>
      </c>
      <c r="AA74" s="78" t="str">
        <f t="shared" si="24"/>
        <v/>
      </c>
      <c r="AB74" s="1" t="str">
        <f t="shared" si="25"/>
        <v/>
      </c>
      <c r="AC74" s="1" t="str">
        <f t="shared" si="26"/>
        <v/>
      </c>
    </row>
    <row r="75" spans="1:29" x14ac:dyDescent="0.3">
      <c r="A75" t="str">
        <f t="shared" si="14"/>
        <v/>
      </c>
      <c r="B75" t="str">
        <f t="shared" si="15"/>
        <v/>
      </c>
      <c r="C75" s="6" t="str">
        <f t="shared" si="3"/>
        <v/>
      </c>
      <c r="D75" s="136" t="str">
        <f t="shared" si="4"/>
        <v/>
      </c>
      <c r="E75" s="78" t="str">
        <f t="shared" si="27"/>
        <v/>
      </c>
      <c r="F75" s="6" t="str">
        <f t="shared" si="16"/>
        <v/>
      </c>
      <c r="G75" s="136" t="str">
        <f t="shared" si="5"/>
        <v/>
      </c>
      <c r="I75" s="6" t="str">
        <f t="shared" si="6"/>
        <v/>
      </c>
      <c r="J75" s="136" t="str">
        <f t="shared" si="7"/>
        <v/>
      </c>
      <c r="K75" s="78" t="str">
        <f t="shared" si="17"/>
        <v/>
      </c>
      <c r="L75" s="6" t="str">
        <f t="shared" si="18"/>
        <v/>
      </c>
      <c r="M75" s="136" t="str">
        <f t="shared" si="8"/>
        <v/>
      </c>
      <c r="N75" s="6" t="str">
        <f t="shared" si="9"/>
        <v/>
      </c>
      <c r="O75" s="136" t="str">
        <f t="shared" si="10"/>
        <v/>
      </c>
      <c r="P75" s="78" t="str">
        <f t="shared" si="19"/>
        <v/>
      </c>
      <c r="Q75" s="6" t="str">
        <f t="shared" si="20"/>
        <v/>
      </c>
      <c r="R75" s="1" t="str">
        <f t="shared" si="11"/>
        <v/>
      </c>
      <c r="S75" s="1" t="str">
        <f t="shared" si="12"/>
        <v/>
      </c>
      <c r="U75" s="160" t="str">
        <f t="shared" si="13"/>
        <v/>
      </c>
      <c r="V75" s="78" t="str">
        <f t="shared" si="28"/>
        <v/>
      </c>
      <c r="W75" s="78" t="str">
        <f t="shared" si="21"/>
        <v/>
      </c>
      <c r="X75" s="159" t="str">
        <f t="shared" si="30"/>
        <v/>
      </c>
      <c r="Y75" s="1" t="str">
        <f t="shared" si="22"/>
        <v/>
      </c>
      <c r="Z75" s="160" t="str">
        <f t="shared" si="23"/>
        <v/>
      </c>
      <c r="AA75" s="78" t="str">
        <f t="shared" si="24"/>
        <v/>
      </c>
      <c r="AB75" s="1" t="str">
        <f t="shared" si="25"/>
        <v/>
      </c>
      <c r="AC75" s="1" t="str">
        <f t="shared" si="26"/>
        <v/>
      </c>
    </row>
    <row r="76" spans="1:29" x14ac:dyDescent="0.3">
      <c r="A76" t="str">
        <f t="shared" si="14"/>
        <v/>
      </c>
      <c r="B76" t="str">
        <f t="shared" si="15"/>
        <v/>
      </c>
      <c r="C76" s="6" t="str">
        <f t="shared" si="3"/>
        <v/>
      </c>
      <c r="D76" s="136" t="str">
        <f t="shared" si="4"/>
        <v/>
      </c>
      <c r="E76" s="78" t="str">
        <f t="shared" si="27"/>
        <v/>
      </c>
      <c r="F76" s="6" t="str">
        <f t="shared" si="16"/>
        <v/>
      </c>
      <c r="G76" s="136" t="str">
        <f t="shared" si="5"/>
        <v/>
      </c>
      <c r="I76" s="6" t="str">
        <f t="shared" si="6"/>
        <v/>
      </c>
      <c r="J76" s="136" t="str">
        <f t="shared" si="7"/>
        <v/>
      </c>
      <c r="K76" s="78" t="str">
        <f t="shared" si="17"/>
        <v/>
      </c>
      <c r="L76" s="6" t="str">
        <f t="shared" si="18"/>
        <v/>
      </c>
      <c r="M76" s="136" t="str">
        <f t="shared" si="8"/>
        <v/>
      </c>
      <c r="N76" s="6" t="str">
        <f t="shared" si="9"/>
        <v/>
      </c>
      <c r="O76" s="136" t="str">
        <f t="shared" si="10"/>
        <v/>
      </c>
      <c r="P76" s="78" t="str">
        <f t="shared" si="19"/>
        <v/>
      </c>
      <c r="Q76" s="6" t="str">
        <f t="shared" si="20"/>
        <v/>
      </c>
      <c r="R76" s="1" t="str">
        <f t="shared" si="11"/>
        <v/>
      </c>
      <c r="S76" s="1" t="str">
        <f t="shared" si="12"/>
        <v/>
      </c>
      <c r="U76" s="160" t="str">
        <f t="shared" si="13"/>
        <v/>
      </c>
      <c r="V76" s="78" t="str">
        <f t="shared" si="28"/>
        <v/>
      </c>
      <c r="W76" s="78" t="str">
        <f t="shared" si="21"/>
        <v/>
      </c>
      <c r="X76" s="159" t="str">
        <f t="shared" si="30"/>
        <v/>
      </c>
      <c r="Y76" s="1" t="str">
        <f t="shared" si="22"/>
        <v/>
      </c>
      <c r="Z76" s="160" t="str">
        <f t="shared" si="23"/>
        <v/>
      </c>
      <c r="AA76" s="78" t="str">
        <f t="shared" si="24"/>
        <v/>
      </c>
      <c r="AB76" s="1" t="str">
        <f t="shared" si="25"/>
        <v/>
      </c>
      <c r="AC76" s="1" t="str">
        <f t="shared" si="26"/>
        <v/>
      </c>
    </row>
    <row r="77" spans="1:29" x14ac:dyDescent="0.3">
      <c r="A77" t="str">
        <f t="shared" si="14"/>
        <v/>
      </c>
      <c r="B77" t="str">
        <f t="shared" si="15"/>
        <v/>
      </c>
      <c r="C77" s="6" t="str">
        <f t="shared" si="3"/>
        <v/>
      </c>
      <c r="D77" s="136" t="str">
        <f t="shared" si="4"/>
        <v/>
      </c>
      <c r="E77" s="78" t="str">
        <f t="shared" si="27"/>
        <v/>
      </c>
      <c r="F77" s="6" t="str">
        <f t="shared" si="16"/>
        <v/>
      </c>
      <c r="G77" s="136" t="str">
        <f t="shared" si="5"/>
        <v/>
      </c>
      <c r="I77" s="6" t="str">
        <f t="shared" si="6"/>
        <v/>
      </c>
      <c r="J77" s="136" t="str">
        <f t="shared" si="7"/>
        <v/>
      </c>
      <c r="K77" s="78" t="str">
        <f t="shared" si="17"/>
        <v/>
      </c>
      <c r="L77" s="6" t="str">
        <f t="shared" si="18"/>
        <v/>
      </c>
      <c r="M77" s="136" t="str">
        <f t="shared" si="8"/>
        <v/>
      </c>
      <c r="N77" s="6" t="str">
        <f t="shared" si="9"/>
        <v/>
      </c>
      <c r="O77" s="136" t="str">
        <f t="shared" si="10"/>
        <v/>
      </c>
      <c r="P77" s="78" t="str">
        <f t="shared" si="19"/>
        <v/>
      </c>
      <c r="Q77" s="6" t="str">
        <f t="shared" si="20"/>
        <v/>
      </c>
      <c r="R77" s="1" t="str">
        <f t="shared" si="11"/>
        <v/>
      </c>
      <c r="S77" s="1" t="str">
        <f t="shared" si="12"/>
        <v/>
      </c>
      <c r="U77" s="160" t="str">
        <f t="shared" si="13"/>
        <v/>
      </c>
      <c r="V77" s="78" t="str">
        <f t="shared" si="28"/>
        <v/>
      </c>
      <c r="W77" s="78" t="str">
        <f t="shared" si="21"/>
        <v/>
      </c>
      <c r="X77" s="159" t="str">
        <f t="shared" si="30"/>
        <v/>
      </c>
      <c r="Y77" s="1" t="str">
        <f t="shared" si="22"/>
        <v/>
      </c>
      <c r="Z77" s="160" t="str">
        <f t="shared" si="23"/>
        <v/>
      </c>
      <c r="AA77" s="78" t="str">
        <f t="shared" si="24"/>
        <v/>
      </c>
      <c r="AB77" s="1" t="str">
        <f t="shared" si="25"/>
        <v/>
      </c>
      <c r="AC77" s="1" t="str">
        <f t="shared" si="26"/>
        <v/>
      </c>
    </row>
    <row r="78" spans="1:29" x14ac:dyDescent="0.3">
      <c r="A78" t="str">
        <f t="shared" si="14"/>
        <v/>
      </c>
      <c r="B78" t="str">
        <f t="shared" si="15"/>
        <v/>
      </c>
      <c r="C78" s="6" t="str">
        <f t="shared" si="3"/>
        <v/>
      </c>
      <c r="D78" s="136" t="str">
        <f t="shared" si="4"/>
        <v/>
      </c>
      <c r="E78" s="78" t="str">
        <f t="shared" si="27"/>
        <v/>
      </c>
      <c r="F78" s="6" t="str">
        <f t="shared" si="16"/>
        <v/>
      </c>
      <c r="G78" s="136" t="str">
        <f t="shared" si="5"/>
        <v/>
      </c>
      <c r="I78" s="6" t="str">
        <f t="shared" si="6"/>
        <v/>
      </c>
      <c r="J78" s="136" t="str">
        <f t="shared" si="7"/>
        <v/>
      </c>
      <c r="K78" s="78" t="str">
        <f t="shared" si="17"/>
        <v/>
      </c>
      <c r="L78" s="6" t="str">
        <f t="shared" si="18"/>
        <v/>
      </c>
      <c r="M78" s="136" t="str">
        <f t="shared" si="8"/>
        <v/>
      </c>
      <c r="N78" s="6" t="str">
        <f t="shared" si="9"/>
        <v/>
      </c>
      <c r="O78" s="136" t="str">
        <f t="shared" si="10"/>
        <v/>
      </c>
      <c r="P78" s="78" t="str">
        <f t="shared" si="19"/>
        <v/>
      </c>
      <c r="Q78" s="6" t="str">
        <f t="shared" si="20"/>
        <v/>
      </c>
      <c r="R78" s="1" t="str">
        <f t="shared" si="11"/>
        <v/>
      </c>
      <c r="S78" s="1" t="str">
        <f t="shared" si="12"/>
        <v/>
      </c>
      <c r="U78" s="160" t="str">
        <f t="shared" si="13"/>
        <v/>
      </c>
      <c r="V78" s="78" t="str">
        <f t="shared" si="28"/>
        <v/>
      </c>
      <c r="W78" s="78" t="str">
        <f t="shared" si="21"/>
        <v/>
      </c>
      <c r="X78" s="159" t="str">
        <f t="shared" si="30"/>
        <v/>
      </c>
      <c r="Y78" s="1" t="str">
        <f t="shared" si="22"/>
        <v/>
      </c>
      <c r="Z78" s="160" t="str">
        <f t="shared" si="23"/>
        <v/>
      </c>
      <c r="AA78" s="78" t="str">
        <f t="shared" si="24"/>
        <v/>
      </c>
      <c r="AB78" s="1" t="str">
        <f t="shared" si="25"/>
        <v/>
      </c>
      <c r="AC78" s="1" t="str">
        <f t="shared" si="26"/>
        <v/>
      </c>
    </row>
    <row r="79" spans="1:29" x14ac:dyDescent="0.3">
      <c r="A79" t="str">
        <f t="shared" si="14"/>
        <v/>
      </c>
      <c r="B79" t="str">
        <f t="shared" si="15"/>
        <v/>
      </c>
      <c r="C79" s="6" t="str">
        <f t="shared" si="3"/>
        <v/>
      </c>
      <c r="D79" s="136" t="str">
        <f t="shared" si="4"/>
        <v/>
      </c>
      <c r="E79" s="78" t="str">
        <f t="shared" si="27"/>
        <v/>
      </c>
      <c r="F79" s="6" t="str">
        <f t="shared" si="16"/>
        <v/>
      </c>
      <c r="G79" s="136" t="str">
        <f t="shared" si="5"/>
        <v/>
      </c>
      <c r="I79" s="6" t="str">
        <f t="shared" si="6"/>
        <v/>
      </c>
      <c r="J79" s="136" t="str">
        <f t="shared" si="7"/>
        <v/>
      </c>
      <c r="K79" s="78" t="str">
        <f t="shared" si="17"/>
        <v/>
      </c>
      <c r="L79" s="6" t="str">
        <f t="shared" si="18"/>
        <v/>
      </c>
      <c r="M79" s="136" t="str">
        <f t="shared" si="8"/>
        <v/>
      </c>
      <c r="N79" s="6" t="str">
        <f t="shared" si="9"/>
        <v/>
      </c>
      <c r="O79" s="136" t="str">
        <f t="shared" si="10"/>
        <v/>
      </c>
      <c r="P79" s="78" t="str">
        <f t="shared" si="19"/>
        <v/>
      </c>
      <c r="Q79" s="6" t="str">
        <f t="shared" si="20"/>
        <v/>
      </c>
      <c r="R79" s="1" t="str">
        <f t="shared" si="11"/>
        <v/>
      </c>
      <c r="S79" s="1" t="str">
        <f t="shared" si="12"/>
        <v/>
      </c>
      <c r="U79" s="160" t="str">
        <f t="shared" si="13"/>
        <v/>
      </c>
      <c r="V79" s="78" t="str">
        <f t="shared" si="28"/>
        <v/>
      </c>
      <c r="W79" s="78" t="str">
        <f t="shared" si="21"/>
        <v/>
      </c>
      <c r="X79" s="159" t="str">
        <f t="shared" si="30"/>
        <v/>
      </c>
      <c r="Y79" s="1" t="str">
        <f t="shared" si="22"/>
        <v/>
      </c>
      <c r="Z79" s="160" t="str">
        <f t="shared" si="23"/>
        <v/>
      </c>
      <c r="AA79" s="78" t="str">
        <f t="shared" si="24"/>
        <v/>
      </c>
      <c r="AB79" s="1" t="str">
        <f t="shared" si="25"/>
        <v/>
      </c>
      <c r="AC79" s="1" t="str">
        <f t="shared" si="26"/>
        <v/>
      </c>
    </row>
    <row r="80" spans="1:29" x14ac:dyDescent="0.3">
      <c r="A80" t="str">
        <f t="shared" si="14"/>
        <v/>
      </c>
      <c r="B80" t="str">
        <f t="shared" si="15"/>
        <v/>
      </c>
      <c r="C80" s="6" t="str">
        <f t="shared" si="3"/>
        <v/>
      </c>
      <c r="D80" s="136" t="str">
        <f t="shared" si="4"/>
        <v/>
      </c>
      <c r="E80" s="78" t="str">
        <f t="shared" si="27"/>
        <v/>
      </c>
      <c r="F80" s="6" t="str">
        <f t="shared" si="16"/>
        <v/>
      </c>
      <c r="G80" s="136" t="str">
        <f t="shared" si="5"/>
        <v/>
      </c>
      <c r="I80" s="6" t="str">
        <f t="shared" si="6"/>
        <v/>
      </c>
      <c r="J80" s="136" t="str">
        <f t="shared" si="7"/>
        <v/>
      </c>
      <c r="K80" s="78" t="str">
        <f t="shared" si="17"/>
        <v/>
      </c>
      <c r="L80" s="6" t="str">
        <f t="shared" si="18"/>
        <v/>
      </c>
      <c r="M80" s="136" t="str">
        <f t="shared" si="8"/>
        <v/>
      </c>
      <c r="N80" s="6" t="str">
        <f t="shared" si="9"/>
        <v/>
      </c>
      <c r="O80" s="136" t="str">
        <f t="shared" si="10"/>
        <v/>
      </c>
      <c r="P80" s="78" t="str">
        <f t="shared" si="19"/>
        <v/>
      </c>
      <c r="Q80" s="6" t="str">
        <f t="shared" si="20"/>
        <v/>
      </c>
      <c r="R80" s="1" t="str">
        <f t="shared" si="11"/>
        <v/>
      </c>
      <c r="S80" s="1" t="str">
        <f t="shared" si="12"/>
        <v/>
      </c>
      <c r="U80" s="160" t="str">
        <f t="shared" si="13"/>
        <v/>
      </c>
      <c r="V80" s="78" t="str">
        <f t="shared" si="28"/>
        <v/>
      </c>
      <c r="W80" s="78" t="str">
        <f t="shared" si="21"/>
        <v/>
      </c>
      <c r="X80" s="159" t="str">
        <f t="shared" si="30"/>
        <v/>
      </c>
      <c r="Y80" s="1" t="str">
        <f t="shared" si="22"/>
        <v/>
      </c>
      <c r="Z80" s="160" t="str">
        <f t="shared" si="23"/>
        <v/>
      </c>
      <c r="AA80" s="78" t="str">
        <f t="shared" si="24"/>
        <v/>
      </c>
      <c r="AB80" s="1" t="str">
        <f t="shared" si="25"/>
        <v/>
      </c>
      <c r="AC80" s="1" t="str">
        <f t="shared" si="26"/>
        <v/>
      </c>
    </row>
    <row r="81" spans="1:29" x14ac:dyDescent="0.3">
      <c r="A81" t="str">
        <f t="shared" si="14"/>
        <v/>
      </c>
      <c r="B81" t="str">
        <f t="shared" si="15"/>
        <v/>
      </c>
      <c r="C81" s="6" t="str">
        <f t="shared" si="3"/>
        <v/>
      </c>
      <c r="D81" s="136" t="str">
        <f t="shared" si="4"/>
        <v/>
      </c>
      <c r="E81" s="78" t="str">
        <f t="shared" si="27"/>
        <v/>
      </c>
      <c r="F81" s="6" t="str">
        <f t="shared" si="16"/>
        <v/>
      </c>
      <c r="G81" s="136" t="str">
        <f t="shared" si="5"/>
        <v/>
      </c>
      <c r="I81" s="6" t="str">
        <f t="shared" si="6"/>
        <v/>
      </c>
      <c r="J81" s="136" t="str">
        <f t="shared" si="7"/>
        <v/>
      </c>
      <c r="K81" s="78" t="str">
        <f t="shared" si="17"/>
        <v/>
      </c>
      <c r="L81" s="6" t="str">
        <f t="shared" si="18"/>
        <v/>
      </c>
      <c r="M81" s="136" t="str">
        <f t="shared" si="8"/>
        <v/>
      </c>
      <c r="N81" s="6" t="str">
        <f t="shared" si="9"/>
        <v/>
      </c>
      <c r="O81" s="136" t="str">
        <f t="shared" si="10"/>
        <v/>
      </c>
      <c r="P81" s="78" t="str">
        <f t="shared" si="19"/>
        <v/>
      </c>
      <c r="Q81" s="6" t="str">
        <f t="shared" si="20"/>
        <v/>
      </c>
      <c r="R81" s="1" t="str">
        <f t="shared" si="11"/>
        <v/>
      </c>
      <c r="S81" s="1" t="str">
        <f t="shared" si="12"/>
        <v/>
      </c>
      <c r="U81" s="160" t="str">
        <f t="shared" si="13"/>
        <v/>
      </c>
      <c r="V81" s="78" t="str">
        <f t="shared" si="28"/>
        <v/>
      </c>
      <c r="W81" s="78" t="str">
        <f t="shared" si="21"/>
        <v/>
      </c>
      <c r="X81" s="159" t="str">
        <f t="shared" si="30"/>
        <v/>
      </c>
      <c r="Y81" s="1" t="str">
        <f t="shared" si="22"/>
        <v/>
      </c>
      <c r="Z81" s="160" t="str">
        <f t="shared" si="23"/>
        <v/>
      </c>
      <c r="AA81" s="78" t="str">
        <f t="shared" si="24"/>
        <v/>
      </c>
      <c r="AB81" s="1" t="str">
        <f t="shared" si="25"/>
        <v/>
      </c>
      <c r="AC81" s="1" t="str">
        <f t="shared" si="26"/>
        <v/>
      </c>
    </row>
    <row r="82" spans="1:29" x14ac:dyDescent="0.3">
      <c r="A82" t="str">
        <f t="shared" si="14"/>
        <v/>
      </c>
      <c r="B82" t="str">
        <f t="shared" si="15"/>
        <v/>
      </c>
      <c r="C82" s="6" t="str">
        <f t="shared" si="3"/>
        <v/>
      </c>
      <c r="D82" s="136" t="str">
        <f t="shared" si="4"/>
        <v/>
      </c>
      <c r="E82" s="78" t="str">
        <f t="shared" si="27"/>
        <v/>
      </c>
      <c r="F82" s="6" t="str">
        <f t="shared" si="16"/>
        <v/>
      </c>
      <c r="G82" s="136" t="str">
        <f t="shared" si="5"/>
        <v/>
      </c>
      <c r="I82" s="6" t="str">
        <f t="shared" si="6"/>
        <v/>
      </c>
      <c r="J82" s="136" t="str">
        <f t="shared" si="7"/>
        <v/>
      </c>
      <c r="K82" s="78" t="str">
        <f t="shared" si="17"/>
        <v/>
      </c>
      <c r="L82" s="6" t="str">
        <f t="shared" si="18"/>
        <v/>
      </c>
      <c r="M82" s="136" t="str">
        <f t="shared" si="8"/>
        <v/>
      </c>
      <c r="N82" s="6" t="str">
        <f t="shared" si="9"/>
        <v/>
      </c>
      <c r="O82" s="136" t="str">
        <f t="shared" si="10"/>
        <v/>
      </c>
      <c r="P82" s="78" t="str">
        <f t="shared" si="19"/>
        <v/>
      </c>
      <c r="Q82" s="6" t="str">
        <f t="shared" si="20"/>
        <v/>
      </c>
      <c r="R82" s="1" t="str">
        <f t="shared" si="11"/>
        <v/>
      </c>
      <c r="S82" s="1" t="str">
        <f t="shared" si="12"/>
        <v/>
      </c>
      <c r="U82" s="160" t="str">
        <f t="shared" si="13"/>
        <v/>
      </c>
      <c r="V82" s="78" t="str">
        <f t="shared" si="28"/>
        <v/>
      </c>
      <c r="W82" s="78" t="str">
        <f t="shared" si="21"/>
        <v/>
      </c>
      <c r="X82" s="159" t="str">
        <f t="shared" si="30"/>
        <v/>
      </c>
      <c r="Y82" s="1" t="str">
        <f t="shared" si="22"/>
        <v/>
      </c>
      <c r="Z82" s="160" t="str">
        <f t="shared" si="23"/>
        <v/>
      </c>
      <c r="AA82" s="78" t="str">
        <f t="shared" si="24"/>
        <v/>
      </c>
      <c r="AB82" s="1" t="str">
        <f t="shared" si="25"/>
        <v/>
      </c>
      <c r="AC82" s="1" t="str">
        <f t="shared" si="26"/>
        <v/>
      </c>
    </row>
    <row r="83" spans="1:29" x14ac:dyDescent="0.3">
      <c r="A83" t="str">
        <f t="shared" si="14"/>
        <v/>
      </c>
      <c r="B83" t="str">
        <f t="shared" si="15"/>
        <v/>
      </c>
      <c r="C83" s="6" t="str">
        <f t="shared" si="3"/>
        <v/>
      </c>
      <c r="D83" s="136" t="str">
        <f t="shared" si="4"/>
        <v/>
      </c>
      <c r="E83" s="78" t="str">
        <f t="shared" si="27"/>
        <v/>
      </c>
      <c r="F83" s="6" t="str">
        <f t="shared" si="16"/>
        <v/>
      </c>
      <c r="G83" s="136" t="str">
        <f t="shared" si="5"/>
        <v/>
      </c>
      <c r="I83" s="6" t="str">
        <f t="shared" si="6"/>
        <v/>
      </c>
      <c r="J83" s="136" t="str">
        <f t="shared" si="7"/>
        <v/>
      </c>
      <c r="K83" s="78" t="str">
        <f t="shared" si="17"/>
        <v/>
      </c>
      <c r="L83" s="6" t="str">
        <f t="shared" si="18"/>
        <v/>
      </c>
      <c r="M83" s="136" t="str">
        <f t="shared" si="8"/>
        <v/>
      </c>
      <c r="N83" s="6" t="str">
        <f t="shared" si="9"/>
        <v/>
      </c>
      <c r="O83" s="136" t="str">
        <f t="shared" si="10"/>
        <v/>
      </c>
      <c r="P83" s="78" t="str">
        <f t="shared" si="19"/>
        <v/>
      </c>
      <c r="Q83" s="6" t="str">
        <f t="shared" si="20"/>
        <v/>
      </c>
      <c r="R83" s="1" t="str">
        <f t="shared" si="11"/>
        <v/>
      </c>
      <c r="S83" s="1" t="str">
        <f t="shared" si="12"/>
        <v/>
      </c>
      <c r="U83" s="160" t="str">
        <f t="shared" si="13"/>
        <v/>
      </c>
      <c r="V83" s="78" t="str">
        <f t="shared" si="28"/>
        <v/>
      </c>
      <c r="W83" s="78" t="str">
        <f t="shared" si="21"/>
        <v/>
      </c>
      <c r="X83" s="159" t="str">
        <f t="shared" si="30"/>
        <v/>
      </c>
      <c r="Y83" s="1" t="str">
        <f t="shared" si="22"/>
        <v/>
      </c>
      <c r="Z83" s="160" t="str">
        <f t="shared" si="23"/>
        <v/>
      </c>
      <c r="AA83" s="78" t="str">
        <f t="shared" si="24"/>
        <v/>
      </c>
      <c r="AB83" s="1" t="str">
        <f t="shared" si="25"/>
        <v/>
      </c>
      <c r="AC83" s="1" t="str">
        <f t="shared" si="26"/>
        <v/>
      </c>
    </row>
    <row r="84" spans="1:29" x14ac:dyDescent="0.3">
      <c r="A84" t="str">
        <f t="shared" si="14"/>
        <v/>
      </c>
      <c r="B84" t="str">
        <f t="shared" si="15"/>
        <v/>
      </c>
      <c r="C84" s="6" t="str">
        <f t="shared" si="3"/>
        <v/>
      </c>
      <c r="D84" s="136" t="str">
        <f t="shared" si="4"/>
        <v/>
      </c>
      <c r="E84" s="78" t="str">
        <f t="shared" si="27"/>
        <v/>
      </c>
      <c r="F84" s="6" t="str">
        <f t="shared" si="16"/>
        <v/>
      </c>
      <c r="G84" s="136" t="str">
        <f t="shared" si="5"/>
        <v/>
      </c>
      <c r="I84" s="6" t="str">
        <f t="shared" si="6"/>
        <v/>
      </c>
      <c r="J84" s="136" t="str">
        <f t="shared" si="7"/>
        <v/>
      </c>
      <c r="K84" s="78" t="str">
        <f t="shared" si="17"/>
        <v/>
      </c>
      <c r="L84" s="6" t="str">
        <f t="shared" si="18"/>
        <v/>
      </c>
      <c r="M84" s="136" t="str">
        <f t="shared" si="8"/>
        <v/>
      </c>
      <c r="N84" s="6" t="str">
        <f t="shared" si="9"/>
        <v/>
      </c>
      <c r="O84" s="136" t="str">
        <f t="shared" si="10"/>
        <v/>
      </c>
      <c r="P84" s="78" t="str">
        <f t="shared" si="19"/>
        <v/>
      </c>
      <c r="Q84" s="6" t="str">
        <f t="shared" si="20"/>
        <v/>
      </c>
      <c r="R84" s="1" t="str">
        <f t="shared" si="11"/>
        <v/>
      </c>
      <c r="S84" s="1" t="str">
        <f t="shared" si="12"/>
        <v/>
      </c>
      <c r="U84" s="160" t="str">
        <f t="shared" si="13"/>
        <v/>
      </c>
      <c r="V84" s="78" t="str">
        <f t="shared" si="28"/>
        <v/>
      </c>
      <c r="W84" s="78" t="str">
        <f t="shared" si="21"/>
        <v/>
      </c>
      <c r="X84" s="159" t="str">
        <f t="shared" si="30"/>
        <v/>
      </c>
      <c r="Y84" s="1" t="str">
        <f t="shared" si="22"/>
        <v/>
      </c>
      <c r="Z84" s="160" t="str">
        <f t="shared" si="23"/>
        <v/>
      </c>
      <c r="AA84" s="78" t="str">
        <f t="shared" si="24"/>
        <v/>
      </c>
      <c r="AB84" s="1" t="str">
        <f t="shared" si="25"/>
        <v/>
      </c>
      <c r="AC84" s="1" t="str">
        <f t="shared" si="26"/>
        <v/>
      </c>
    </row>
    <row r="85" spans="1:29" x14ac:dyDescent="0.3">
      <c r="A85" t="str">
        <f t="shared" si="14"/>
        <v/>
      </c>
      <c r="B85" t="str">
        <f t="shared" si="15"/>
        <v/>
      </c>
      <c r="C85" s="6" t="str">
        <f t="shared" si="3"/>
        <v/>
      </c>
      <c r="D85" s="136" t="str">
        <f t="shared" si="4"/>
        <v/>
      </c>
      <c r="E85" s="78" t="str">
        <f t="shared" si="27"/>
        <v/>
      </c>
      <c r="F85" s="6" t="str">
        <f t="shared" si="16"/>
        <v/>
      </c>
      <c r="G85" s="136" t="str">
        <f t="shared" si="5"/>
        <v/>
      </c>
      <c r="I85" s="6" t="str">
        <f t="shared" si="6"/>
        <v/>
      </c>
      <c r="J85" s="136" t="str">
        <f t="shared" si="7"/>
        <v/>
      </c>
      <c r="K85" s="78" t="str">
        <f t="shared" si="17"/>
        <v/>
      </c>
      <c r="L85" s="6" t="str">
        <f t="shared" si="18"/>
        <v/>
      </c>
      <c r="M85" s="136" t="str">
        <f t="shared" si="8"/>
        <v/>
      </c>
      <c r="N85" s="6" t="str">
        <f t="shared" si="9"/>
        <v/>
      </c>
      <c r="O85" s="136" t="str">
        <f t="shared" si="10"/>
        <v/>
      </c>
      <c r="P85" s="78" t="str">
        <f t="shared" si="19"/>
        <v/>
      </c>
      <c r="Q85" s="6" t="str">
        <f t="shared" si="20"/>
        <v/>
      </c>
      <c r="R85" s="1" t="str">
        <f t="shared" si="11"/>
        <v/>
      </c>
      <c r="S85" s="1" t="str">
        <f t="shared" si="12"/>
        <v/>
      </c>
      <c r="U85" s="160" t="str">
        <f t="shared" si="13"/>
        <v/>
      </c>
      <c r="V85" s="78" t="str">
        <f t="shared" si="28"/>
        <v/>
      </c>
      <c r="W85" s="78" t="str">
        <f t="shared" si="21"/>
        <v/>
      </c>
      <c r="X85" s="159" t="str">
        <f t="shared" si="30"/>
        <v/>
      </c>
      <c r="Y85" s="1" t="str">
        <f t="shared" si="22"/>
        <v/>
      </c>
      <c r="Z85" s="160" t="str">
        <f t="shared" si="23"/>
        <v/>
      </c>
      <c r="AA85" s="78" t="str">
        <f t="shared" si="24"/>
        <v/>
      </c>
      <c r="AB85" s="1" t="str">
        <f t="shared" si="25"/>
        <v/>
      </c>
      <c r="AC85" s="1" t="str">
        <f t="shared" si="26"/>
        <v/>
      </c>
    </row>
    <row r="86" spans="1:29" ht="1.8" customHeight="1" x14ac:dyDescent="0.3">
      <c r="A86" s="138"/>
      <c r="B86" s="138"/>
      <c r="C86" s="138"/>
      <c r="D86" s="138"/>
      <c r="E86" s="138"/>
      <c r="F86" s="138"/>
      <c r="G86" s="138"/>
      <c r="H86" s="138"/>
      <c r="I86" s="138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</row>
  </sheetData>
  <mergeCells count="24">
    <mergeCell ref="N9:O9"/>
    <mergeCell ref="P9:Q9"/>
    <mergeCell ref="A8:A10"/>
    <mergeCell ref="C9:C10"/>
    <mergeCell ref="D9:D10"/>
    <mergeCell ref="E9:E10"/>
    <mergeCell ref="F9:F10"/>
    <mergeCell ref="B8:B10"/>
    <mergeCell ref="C53:R53"/>
    <mergeCell ref="C52:AC52"/>
    <mergeCell ref="S53:AC53"/>
    <mergeCell ref="B1:B2"/>
    <mergeCell ref="C2:J2"/>
    <mergeCell ref="L2:S2"/>
    <mergeCell ref="C1:S1"/>
    <mergeCell ref="U1:V1"/>
    <mergeCell ref="C8:G8"/>
    <mergeCell ref="I8:M8"/>
    <mergeCell ref="R9:U9"/>
    <mergeCell ref="I9:I10"/>
    <mergeCell ref="N8:U8"/>
    <mergeCell ref="J9:J10"/>
    <mergeCell ref="L9:L10"/>
    <mergeCell ref="M9:M10"/>
  </mergeCells>
  <dataValidations xWindow="487" yWindow="265" count="8">
    <dataValidation type="list" allowBlank="1" showInputMessage="1" showErrorMessage="1" prompt="Concrete" sqref="D3:E3">
      <formula1>Beton</formula1>
    </dataValidation>
    <dataValidation type="list" allowBlank="1" showInputMessage="1" showErrorMessage="1" prompt="ductility2" sqref="M4">
      <formula1>ductility2</formula1>
    </dataValidation>
    <dataValidation type="list" allowBlank="1" showInputMessage="1" showErrorMessage="1" prompt="Steel" sqref="M3">
      <formula1>steel2</formula1>
    </dataValidation>
    <dataValidation errorStyle="warning" allowBlank="1" showInputMessage="1" showErrorMessage="1" errorTitle="Type Of Load" error="Select Type of Load !" promptTitle="Type of Load" prompt="Type of Load." sqref="G11:G41"/>
    <dataValidation type="list" errorStyle="warning" allowBlank="1" showInputMessage="1" showErrorMessage="1" errorTitle="Cross Section Type" error="Select Cross Section Type." promptTitle="Cross Section Type" prompt="Cross Section Type" sqref="I11:I41">
      <formula1>IF(OR(C11&lt;&gt;"",D11&lt;&gt;"",E11&lt;&gt;"",F11&lt;&gt;""),CrossType,NoDataValidation)</formula1>
    </dataValidation>
    <dataValidation type="list" errorStyle="warning" allowBlank="1" showInputMessage="1" showErrorMessage="1" errorTitle="Diameter" error="The diameter must be standard !_x000a_" promptTitle="Reinforcement" prompt="Diameter" sqref="V2:V3 AA55:AA85 K55:K85 V55:V85 E55:E85 P55:P85">
      <formula1>SteelDiam</formula1>
    </dataValidation>
    <dataValidation type="list" allowBlank="1" showInputMessage="1" showErrorMessage="1" errorTitle="Type Of Load" error="Select Type of Load !" promptTitle="Type of Load" prompt="Type of Load." sqref="B3">
      <formula1>ULS_Coef</formula1>
    </dataValidation>
    <dataValidation type="decimal" operator="greaterThan" allowBlank="1" showInputMessage="1" showErrorMessage="1" sqref="M11:M41">
      <formula1>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MultipleSectionButton">
          <controlPr autoLine="0" r:id="rId5">
            <anchor moveWithCells="1">
              <from>
                <xdr:col>23</xdr:col>
                <xdr:colOff>83820</xdr:colOff>
                <xdr:row>1</xdr:row>
                <xdr:rowOff>30480</xdr:rowOff>
              </from>
              <to>
                <xdr:col>23</xdr:col>
                <xdr:colOff>998220</xdr:colOff>
                <xdr:row>2</xdr:row>
                <xdr:rowOff>152400</xdr:rowOff>
              </to>
            </anchor>
          </controlPr>
        </control>
      </mc:Choice>
      <mc:Fallback>
        <control shapeId="2050" r:id="rId4" name="MultipleSection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>
      <selection activeCell="D3" sqref="D3"/>
    </sheetView>
  </sheetViews>
  <sheetFormatPr defaultRowHeight="14.4" x14ac:dyDescent="0.3"/>
  <sheetData>
    <row r="1" spans="1:7" x14ac:dyDescent="0.3">
      <c r="A1" s="168" t="s">
        <v>103</v>
      </c>
      <c r="B1" s="169"/>
      <c r="C1" s="169"/>
      <c r="D1" s="169"/>
      <c r="E1" s="169"/>
      <c r="F1" s="169"/>
      <c r="G1" s="170"/>
    </row>
    <row r="2" spans="1:7" ht="28.8" x14ac:dyDescent="0.3">
      <c r="A2" s="3"/>
      <c r="B2" s="4"/>
      <c r="C2" s="4" t="s">
        <v>112</v>
      </c>
      <c r="D2" s="115" t="s">
        <v>99</v>
      </c>
      <c r="E2" s="115" t="s">
        <v>100</v>
      </c>
      <c r="F2" s="4"/>
      <c r="G2" s="116" t="s">
        <v>101</v>
      </c>
    </row>
    <row r="3" spans="1:7" x14ac:dyDescent="0.3">
      <c r="A3" s="161"/>
      <c r="B3" s="162"/>
      <c r="C3" s="117">
        <v>30.1</v>
      </c>
      <c r="D3" s="107">
        <v>28</v>
      </c>
      <c r="E3" s="108">
        <f>IF(A3&lt;&gt;"-",ROUNDUP(C3/PI()/(D3/20)^2,0),A3)</f>
        <v>5</v>
      </c>
      <c r="F3" s="109"/>
      <c r="G3" s="112">
        <f>IF(A3&lt;&gt;"-",((B7-(B9+B11/10)*2)-E3*D3/10)/(E3-1),A3)</f>
        <v>18.5</v>
      </c>
    </row>
    <row r="6" spans="1:7" x14ac:dyDescent="0.3">
      <c r="B6" t="s">
        <v>68</v>
      </c>
    </row>
    <row r="7" spans="1:7" x14ac:dyDescent="0.3">
      <c r="A7" s="2" t="str">
        <f>IF(B6="rec","b[cm]","R[cm]")</f>
        <v>b[cm]</v>
      </c>
      <c r="B7" s="69">
        <v>100</v>
      </c>
    </row>
    <row r="8" spans="1:7" x14ac:dyDescent="0.3">
      <c r="A8" s="2" t="str">
        <f>IF(B6="rec","h[cm]","")</f>
        <v>h[cm]</v>
      </c>
      <c r="B8" s="69">
        <v>55</v>
      </c>
    </row>
    <row r="9" spans="1:7" x14ac:dyDescent="0.3">
      <c r="A9" s="2" t="s">
        <v>64</v>
      </c>
      <c r="B9" s="69">
        <v>5</v>
      </c>
    </row>
    <row r="11" spans="1:7" x14ac:dyDescent="0.3">
      <c r="A11" t="s">
        <v>111</v>
      </c>
      <c r="B11" s="78">
        <v>10</v>
      </c>
    </row>
  </sheetData>
  <mergeCells count="2">
    <mergeCell ref="A1:G1"/>
    <mergeCell ref="A3:B3"/>
  </mergeCells>
  <dataValidations count="1">
    <dataValidation type="list" allowBlank="1" showInputMessage="1" showErrorMessage="1" sqref="D6 D11 B11 D3">
      <formula1>SteelDiam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topLeftCell="C1" workbookViewId="0">
      <selection activeCell="X3" sqref="X3:X7"/>
    </sheetView>
  </sheetViews>
  <sheetFormatPr defaultRowHeight="14.4" x14ac:dyDescent="0.3"/>
  <cols>
    <col min="18" max="18" width="11.33203125" customWidth="1"/>
    <col min="24" max="24" width="15.6640625" bestFit="1" customWidth="1"/>
  </cols>
  <sheetData>
    <row r="1" spans="1:24" ht="15" thickBot="1" x14ac:dyDescent="0.35">
      <c r="A1" s="168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05"/>
    </row>
    <row r="2" spans="1:24" x14ac:dyDescent="0.3">
      <c r="A2" s="25" t="s">
        <v>43</v>
      </c>
      <c r="B2" s="18" t="s">
        <v>6</v>
      </c>
      <c r="C2" s="18" t="s">
        <v>7</v>
      </c>
      <c r="D2" s="18" t="s">
        <v>8</v>
      </c>
      <c r="E2" s="18" t="s">
        <v>9</v>
      </c>
      <c r="F2" s="18" t="s">
        <v>10</v>
      </c>
      <c r="G2" s="18" t="s">
        <v>11</v>
      </c>
      <c r="H2" s="18" t="s">
        <v>12</v>
      </c>
      <c r="I2" s="20" t="s">
        <v>13</v>
      </c>
      <c r="J2" s="18" t="s">
        <v>15</v>
      </c>
      <c r="K2" s="18" t="s">
        <v>16</v>
      </c>
      <c r="L2" s="18" t="s">
        <v>17</v>
      </c>
      <c r="M2" s="18" t="s">
        <v>14</v>
      </c>
      <c r="N2" s="18" t="s">
        <v>18</v>
      </c>
      <c r="O2" s="19" t="s">
        <v>19</v>
      </c>
      <c r="R2" s="168" t="s">
        <v>59</v>
      </c>
      <c r="S2" s="215"/>
      <c r="T2" s="215"/>
      <c r="U2" s="215"/>
      <c r="V2" s="205"/>
      <c r="X2" t="s">
        <v>138</v>
      </c>
    </row>
    <row r="3" spans="1:24" x14ac:dyDescent="0.3">
      <c r="A3" s="3"/>
      <c r="B3" s="7" t="s">
        <v>21</v>
      </c>
      <c r="C3" s="7" t="s">
        <v>21</v>
      </c>
      <c r="D3" s="7" t="s">
        <v>21</v>
      </c>
      <c r="E3" s="7" t="s">
        <v>21</v>
      </c>
      <c r="F3" s="7" t="s">
        <v>21</v>
      </c>
      <c r="G3" s="7" t="s">
        <v>21</v>
      </c>
      <c r="H3" s="7" t="s">
        <v>22</v>
      </c>
      <c r="I3" s="7" t="s">
        <v>23</v>
      </c>
      <c r="J3" s="7" t="s">
        <v>23</v>
      </c>
      <c r="K3" s="7" t="s">
        <v>23</v>
      </c>
      <c r="L3" s="7" t="s">
        <v>23</v>
      </c>
      <c r="M3" s="7"/>
      <c r="N3" s="7" t="s">
        <v>23</v>
      </c>
      <c r="O3" s="8" t="s">
        <v>23</v>
      </c>
      <c r="R3" s="3" t="s">
        <v>37</v>
      </c>
      <c r="S3" s="22" t="s">
        <v>39</v>
      </c>
      <c r="T3" s="22" t="s">
        <v>38</v>
      </c>
      <c r="U3" s="22" t="s">
        <v>40</v>
      </c>
      <c r="V3" s="52" t="s">
        <v>60</v>
      </c>
    </row>
    <row r="4" spans="1:24" x14ac:dyDescent="0.3">
      <c r="A4" s="9">
        <v>1</v>
      </c>
      <c r="B4" s="9">
        <f t="shared" ref="B4:O4" si="0">A4+1</f>
        <v>2</v>
      </c>
      <c r="C4" s="9">
        <f t="shared" si="0"/>
        <v>3</v>
      </c>
      <c r="D4" s="9">
        <f t="shared" si="0"/>
        <v>4</v>
      </c>
      <c r="E4" s="9">
        <f t="shared" si="0"/>
        <v>5</v>
      </c>
      <c r="F4" s="9">
        <f t="shared" si="0"/>
        <v>6</v>
      </c>
      <c r="G4" s="9">
        <f t="shared" si="0"/>
        <v>7</v>
      </c>
      <c r="H4" s="9">
        <f t="shared" si="0"/>
        <v>8</v>
      </c>
      <c r="I4" s="9">
        <f t="shared" si="0"/>
        <v>9</v>
      </c>
      <c r="J4" s="9">
        <f t="shared" si="0"/>
        <v>10</v>
      </c>
      <c r="K4" s="9">
        <f t="shared" si="0"/>
        <v>11</v>
      </c>
      <c r="L4" s="9">
        <f t="shared" si="0"/>
        <v>12</v>
      </c>
      <c r="M4" s="9">
        <f t="shared" si="0"/>
        <v>13</v>
      </c>
      <c r="N4" s="9">
        <f t="shared" si="0"/>
        <v>14</v>
      </c>
      <c r="O4" s="10">
        <f t="shared" si="0"/>
        <v>15</v>
      </c>
      <c r="R4" s="53">
        <f>A4</f>
        <v>1</v>
      </c>
      <c r="S4" s="9">
        <f>R4+1</f>
        <v>2</v>
      </c>
      <c r="T4" s="9">
        <f>S4+1</f>
        <v>3</v>
      </c>
      <c r="U4" s="9">
        <f>T4+1</f>
        <v>4</v>
      </c>
      <c r="V4" s="10">
        <f>U4+1</f>
        <v>5</v>
      </c>
    </row>
    <row r="5" spans="1:24" x14ac:dyDescent="0.3">
      <c r="A5" s="3" t="s">
        <v>1</v>
      </c>
      <c r="B5" s="11">
        <v>20</v>
      </c>
      <c r="C5" s="11">
        <v>25</v>
      </c>
      <c r="D5" s="11">
        <v>28</v>
      </c>
      <c r="E5" s="11">
        <v>2.2000000000000002</v>
      </c>
      <c r="F5" s="11">
        <v>1.5</v>
      </c>
      <c r="G5" s="11">
        <v>2.9</v>
      </c>
      <c r="H5" s="11">
        <v>30</v>
      </c>
      <c r="I5" s="11">
        <v>2</v>
      </c>
      <c r="J5" s="11">
        <v>3.5</v>
      </c>
      <c r="K5" s="11">
        <v>2</v>
      </c>
      <c r="L5" s="11">
        <v>3.5</v>
      </c>
      <c r="M5" s="11">
        <v>2</v>
      </c>
      <c r="N5" s="11">
        <v>1.79</v>
      </c>
      <c r="O5" s="12">
        <v>3.5</v>
      </c>
      <c r="R5" s="3" t="s">
        <v>41</v>
      </c>
      <c r="S5" s="4">
        <v>1.5</v>
      </c>
      <c r="T5" s="4">
        <v>0.85</v>
      </c>
      <c r="U5" s="4">
        <v>1</v>
      </c>
      <c r="V5" s="54">
        <v>1.1499999999999999</v>
      </c>
    </row>
    <row r="6" spans="1:24" x14ac:dyDescent="0.3">
      <c r="A6" s="3" t="s">
        <v>20</v>
      </c>
      <c r="B6" s="11">
        <v>25</v>
      </c>
      <c r="C6" s="11">
        <v>30</v>
      </c>
      <c r="D6" s="11">
        <v>33</v>
      </c>
      <c r="E6" s="11">
        <v>2.6</v>
      </c>
      <c r="F6" s="11">
        <v>1.8</v>
      </c>
      <c r="G6" s="11">
        <v>3.3</v>
      </c>
      <c r="H6" s="11">
        <v>31</v>
      </c>
      <c r="I6" s="11">
        <v>2.1</v>
      </c>
      <c r="J6" s="11">
        <f t="shared" ref="J6:O10" si="1">J5</f>
        <v>3.5</v>
      </c>
      <c r="K6" s="11">
        <f t="shared" si="1"/>
        <v>2</v>
      </c>
      <c r="L6" s="11">
        <f t="shared" si="1"/>
        <v>3.5</v>
      </c>
      <c r="M6" s="11">
        <f t="shared" si="1"/>
        <v>2</v>
      </c>
      <c r="N6" s="11">
        <f t="shared" si="1"/>
        <v>1.79</v>
      </c>
      <c r="O6" s="12">
        <f t="shared" si="1"/>
        <v>3.5</v>
      </c>
      <c r="R6" s="3" t="s">
        <v>35</v>
      </c>
      <c r="S6" s="4">
        <v>1.2</v>
      </c>
      <c r="T6" s="4">
        <v>0.85</v>
      </c>
      <c r="U6" s="4">
        <v>1</v>
      </c>
      <c r="V6" s="54">
        <v>1</v>
      </c>
    </row>
    <row r="7" spans="1:24" ht="15" thickBot="1" x14ac:dyDescent="0.35">
      <c r="A7" s="3" t="s">
        <v>2</v>
      </c>
      <c r="B7" s="11">
        <v>30</v>
      </c>
      <c r="C7" s="11">
        <v>37</v>
      </c>
      <c r="D7" s="11">
        <v>28</v>
      </c>
      <c r="E7" s="11">
        <v>2.9</v>
      </c>
      <c r="F7" s="11">
        <v>2</v>
      </c>
      <c r="G7" s="11">
        <v>3.8</v>
      </c>
      <c r="H7" s="11">
        <v>33</v>
      </c>
      <c r="I7" s="11">
        <v>2.2000000000000002</v>
      </c>
      <c r="J7" s="11">
        <f t="shared" si="1"/>
        <v>3.5</v>
      </c>
      <c r="K7" s="11">
        <f t="shared" si="1"/>
        <v>2</v>
      </c>
      <c r="L7" s="11">
        <f t="shared" si="1"/>
        <v>3.5</v>
      </c>
      <c r="M7" s="11">
        <f t="shared" si="1"/>
        <v>2</v>
      </c>
      <c r="N7" s="11">
        <f t="shared" si="1"/>
        <v>1.79</v>
      </c>
      <c r="O7" s="12">
        <f t="shared" si="1"/>
        <v>3.5</v>
      </c>
      <c r="R7" s="13" t="s">
        <v>36</v>
      </c>
      <c r="S7" s="23">
        <v>1.5</v>
      </c>
      <c r="T7" s="23">
        <v>0.85</v>
      </c>
      <c r="U7" s="23">
        <v>1</v>
      </c>
      <c r="V7" s="55">
        <v>1.1499999999999999</v>
      </c>
    </row>
    <row r="8" spans="1:24" x14ac:dyDescent="0.3">
      <c r="A8" s="3" t="s">
        <v>3</v>
      </c>
      <c r="B8" s="11">
        <v>35</v>
      </c>
      <c r="C8" s="11">
        <v>45</v>
      </c>
      <c r="D8" s="11">
        <v>43</v>
      </c>
      <c r="E8" s="11">
        <v>3.2</v>
      </c>
      <c r="F8" s="11">
        <v>2.2000000000000002</v>
      </c>
      <c r="G8" s="11">
        <v>4.2</v>
      </c>
      <c r="H8" s="11">
        <v>34</v>
      </c>
      <c r="I8" s="11">
        <v>2.25</v>
      </c>
      <c r="J8" s="11">
        <f t="shared" si="1"/>
        <v>3.5</v>
      </c>
      <c r="K8" s="11">
        <f t="shared" si="1"/>
        <v>2</v>
      </c>
      <c r="L8" s="11">
        <f t="shared" si="1"/>
        <v>3.5</v>
      </c>
      <c r="M8" s="11">
        <f t="shared" si="1"/>
        <v>2</v>
      </c>
      <c r="N8" s="11">
        <f t="shared" si="1"/>
        <v>1.79</v>
      </c>
      <c r="O8" s="12">
        <f t="shared" si="1"/>
        <v>3.5</v>
      </c>
    </row>
    <row r="9" spans="1:24" x14ac:dyDescent="0.3">
      <c r="A9" s="3" t="s">
        <v>4</v>
      </c>
      <c r="B9" s="11">
        <v>40</v>
      </c>
      <c r="C9" s="11">
        <v>50</v>
      </c>
      <c r="D9" s="11">
        <v>48</v>
      </c>
      <c r="E9" s="11">
        <v>3.5</v>
      </c>
      <c r="F9" s="11">
        <v>2.5</v>
      </c>
      <c r="G9" s="11">
        <v>4.5999999999999996</v>
      </c>
      <c r="H9" s="11">
        <v>35</v>
      </c>
      <c r="I9" s="11">
        <v>2.2999999999999998</v>
      </c>
      <c r="J9" s="11">
        <f t="shared" si="1"/>
        <v>3.5</v>
      </c>
      <c r="K9" s="11">
        <f t="shared" si="1"/>
        <v>2</v>
      </c>
      <c r="L9" s="11">
        <f t="shared" si="1"/>
        <v>3.5</v>
      </c>
      <c r="M9" s="11">
        <f t="shared" si="1"/>
        <v>2</v>
      </c>
      <c r="N9" s="11">
        <f t="shared" si="1"/>
        <v>1.79</v>
      </c>
      <c r="O9" s="12">
        <f t="shared" si="1"/>
        <v>3.5</v>
      </c>
    </row>
    <row r="10" spans="1:24" ht="15" thickBot="1" x14ac:dyDescent="0.35">
      <c r="A10" s="13" t="s">
        <v>5</v>
      </c>
      <c r="B10" s="14">
        <v>45</v>
      </c>
      <c r="C10" s="14">
        <v>55</v>
      </c>
      <c r="D10" s="14">
        <v>53</v>
      </c>
      <c r="E10" s="14">
        <v>3.8</v>
      </c>
      <c r="F10" s="14">
        <v>2.7</v>
      </c>
      <c r="G10" s="14">
        <v>4.9000000000000004</v>
      </c>
      <c r="H10" s="14">
        <v>36</v>
      </c>
      <c r="I10" s="14">
        <v>2.4</v>
      </c>
      <c r="J10" s="14">
        <f t="shared" si="1"/>
        <v>3.5</v>
      </c>
      <c r="K10" s="14">
        <f t="shared" si="1"/>
        <v>2</v>
      </c>
      <c r="L10" s="14">
        <f t="shared" si="1"/>
        <v>3.5</v>
      </c>
      <c r="M10" s="14">
        <f t="shared" si="1"/>
        <v>2</v>
      </c>
      <c r="N10" s="14">
        <f t="shared" si="1"/>
        <v>1.79</v>
      </c>
      <c r="O10" s="15">
        <f t="shared" si="1"/>
        <v>3.5</v>
      </c>
    </row>
    <row r="11" spans="1:24" ht="28.8" x14ac:dyDescent="0.3">
      <c r="R11" s="68" t="s">
        <v>67</v>
      </c>
      <c r="W11" s="79" t="s">
        <v>98</v>
      </c>
    </row>
    <row r="12" spans="1:24" ht="15" thickBot="1" x14ac:dyDescent="0.35">
      <c r="R12" t="s">
        <v>68</v>
      </c>
      <c r="W12" s="1">
        <v>1</v>
      </c>
    </row>
    <row r="13" spans="1:24" x14ac:dyDescent="0.3">
      <c r="A13" s="168" t="s">
        <v>47</v>
      </c>
      <c r="B13" s="169"/>
      <c r="C13" s="169"/>
      <c r="D13" s="169"/>
      <c r="E13" s="169"/>
      <c r="F13" s="169"/>
      <c r="G13" s="169"/>
      <c r="H13" s="169"/>
      <c r="I13" s="169"/>
      <c r="J13" s="216"/>
      <c r="K13" s="205"/>
      <c r="R13" t="s">
        <v>69</v>
      </c>
      <c r="W13" s="1">
        <f>W12+1</f>
        <v>2</v>
      </c>
    </row>
    <row r="14" spans="1:24" ht="15" customHeight="1" x14ac:dyDescent="0.3">
      <c r="A14" s="25" t="s">
        <v>43</v>
      </c>
      <c r="B14" s="18" t="s">
        <v>44</v>
      </c>
      <c r="C14" s="18" t="s">
        <v>45</v>
      </c>
      <c r="D14" s="20" t="s">
        <v>46</v>
      </c>
      <c r="E14" s="26" t="s">
        <v>55</v>
      </c>
      <c r="F14" s="4"/>
      <c r="G14" s="217" t="s">
        <v>48</v>
      </c>
      <c r="H14" s="218"/>
      <c r="I14" s="218"/>
      <c r="J14" s="218"/>
      <c r="K14" s="219"/>
      <c r="W14" s="1">
        <f t="shared" ref="W14:W31" si="2">W13+1</f>
        <v>3</v>
      </c>
    </row>
    <row r="15" spans="1:24" x14ac:dyDescent="0.3">
      <c r="A15" s="3"/>
      <c r="B15" s="7" t="s">
        <v>21</v>
      </c>
      <c r="C15" s="6" t="s">
        <v>22</v>
      </c>
      <c r="D15" s="7" t="s">
        <v>23</v>
      </c>
      <c r="E15" s="4"/>
      <c r="F15" s="4"/>
      <c r="G15" s="4"/>
      <c r="H15" s="4" t="s">
        <v>49</v>
      </c>
      <c r="I15" s="4" t="s">
        <v>50</v>
      </c>
      <c r="J15" s="4" t="s">
        <v>51</v>
      </c>
      <c r="K15" s="5" t="s">
        <v>70</v>
      </c>
      <c r="W15" s="1">
        <f t="shared" si="2"/>
        <v>4</v>
      </c>
    </row>
    <row r="16" spans="1:24" x14ac:dyDescent="0.3">
      <c r="A16" s="3" t="s">
        <v>42</v>
      </c>
      <c r="B16" s="4">
        <v>500</v>
      </c>
      <c r="C16" s="4">
        <v>200</v>
      </c>
      <c r="D16" s="6">
        <f>E16*HLOOKUP(STBP_SingleSection!E14,H15:K18,4,)</f>
        <v>25</v>
      </c>
      <c r="E16" s="6">
        <v>0.9</v>
      </c>
      <c r="F16" s="4"/>
      <c r="G16" s="4" t="s">
        <v>52</v>
      </c>
      <c r="H16" s="4" t="s">
        <v>53</v>
      </c>
      <c r="I16" s="4" t="s">
        <v>53</v>
      </c>
      <c r="J16" s="4" t="s">
        <v>53</v>
      </c>
      <c r="K16" s="5"/>
      <c r="W16" s="1">
        <f t="shared" si="2"/>
        <v>5</v>
      </c>
    </row>
    <row r="17" spans="1:23" x14ac:dyDescent="0.3">
      <c r="A17" s="3" t="s">
        <v>71</v>
      </c>
      <c r="B17" s="4">
        <v>400</v>
      </c>
      <c r="C17" s="4">
        <v>200</v>
      </c>
      <c r="D17" s="6">
        <f>E17*HLOOKUP(STBP_SingleSection!E14,H15:K18,4,)</f>
        <v>25</v>
      </c>
      <c r="E17" s="6">
        <v>0.9</v>
      </c>
      <c r="F17" s="4"/>
      <c r="G17" s="4"/>
      <c r="H17" s="4">
        <v>1.05</v>
      </c>
      <c r="I17" s="4">
        <v>1.08</v>
      </c>
      <c r="J17" s="4">
        <v>1.1499999999999999</v>
      </c>
      <c r="K17" s="5"/>
      <c r="W17" s="1">
        <f t="shared" si="2"/>
        <v>6</v>
      </c>
    </row>
    <row r="18" spans="1:23" ht="15" thickBot="1" x14ac:dyDescent="0.35">
      <c r="A18" s="13"/>
      <c r="B18" s="23"/>
      <c r="C18" s="23"/>
      <c r="D18" s="23"/>
      <c r="E18" s="23"/>
      <c r="F18" s="23"/>
      <c r="G18" s="23" t="s">
        <v>54</v>
      </c>
      <c r="H18" s="23">
        <v>25</v>
      </c>
      <c r="I18" s="23">
        <v>50</v>
      </c>
      <c r="J18" s="23">
        <v>75</v>
      </c>
      <c r="K18" s="24">
        <f>25/E16</f>
        <v>27.777777777777779</v>
      </c>
      <c r="W18" s="1">
        <f t="shared" si="2"/>
        <v>7</v>
      </c>
    </row>
    <row r="19" spans="1:23" x14ac:dyDescent="0.3">
      <c r="G19" s="3"/>
      <c r="H19" s="5"/>
      <c r="W19" s="1">
        <f t="shared" si="2"/>
        <v>8</v>
      </c>
    </row>
    <row r="20" spans="1:23" x14ac:dyDescent="0.3">
      <c r="G20" s="58" t="s">
        <v>62</v>
      </c>
      <c r="H20" s="56" t="s">
        <v>63</v>
      </c>
      <c r="W20" s="1">
        <f t="shared" si="2"/>
        <v>9</v>
      </c>
    </row>
    <row r="21" spans="1:23" x14ac:dyDescent="0.3">
      <c r="G21" s="59">
        <v>8</v>
      </c>
      <c r="H21" s="60">
        <f>PI()*(G21/2)^2/100</f>
        <v>0.50265482457436694</v>
      </c>
      <c r="W21" s="1">
        <f t="shared" si="2"/>
        <v>10</v>
      </c>
    </row>
    <row r="22" spans="1:23" x14ac:dyDescent="0.3">
      <c r="A22" s="57"/>
      <c r="G22" s="59">
        <v>10</v>
      </c>
      <c r="H22" s="60">
        <f t="shared" ref="H22:H31" si="3">PI()*(G22/2)^2/100</f>
        <v>0.78539816339744828</v>
      </c>
      <c r="W22" s="1">
        <f t="shared" si="2"/>
        <v>11</v>
      </c>
    </row>
    <row r="23" spans="1:23" x14ac:dyDescent="0.3">
      <c r="A23" s="57"/>
      <c r="G23" s="59">
        <v>12</v>
      </c>
      <c r="H23" s="60">
        <f t="shared" si="3"/>
        <v>1.1309733552923256</v>
      </c>
      <c r="W23" s="1">
        <f t="shared" si="2"/>
        <v>12</v>
      </c>
    </row>
    <row r="24" spans="1:23" x14ac:dyDescent="0.3">
      <c r="A24" s="57"/>
      <c r="G24" s="59">
        <v>14</v>
      </c>
      <c r="H24" s="60">
        <f t="shared" si="3"/>
        <v>1.5393804002589986</v>
      </c>
      <c r="W24" s="1">
        <f t="shared" si="2"/>
        <v>13</v>
      </c>
    </row>
    <row r="25" spans="1:23" x14ac:dyDescent="0.3">
      <c r="A25" s="57"/>
      <c r="G25" s="59">
        <v>16</v>
      </c>
      <c r="H25" s="60">
        <f t="shared" si="3"/>
        <v>2.0106192982974678</v>
      </c>
      <c r="W25" s="1">
        <f t="shared" si="2"/>
        <v>14</v>
      </c>
    </row>
    <row r="26" spans="1:23" x14ac:dyDescent="0.3">
      <c r="A26" s="57"/>
      <c r="G26" s="59">
        <v>18</v>
      </c>
      <c r="H26" s="60">
        <f t="shared" si="3"/>
        <v>2.5446900494077322</v>
      </c>
      <c r="W26" s="1">
        <f t="shared" si="2"/>
        <v>15</v>
      </c>
    </row>
    <row r="27" spans="1:23" x14ac:dyDescent="0.3">
      <c r="A27" s="57"/>
      <c r="G27" s="59">
        <v>20</v>
      </c>
      <c r="H27" s="60">
        <f t="shared" si="3"/>
        <v>3.1415926535897931</v>
      </c>
      <c r="W27" s="1">
        <f t="shared" si="2"/>
        <v>16</v>
      </c>
    </row>
    <row r="28" spans="1:23" x14ac:dyDescent="0.3">
      <c r="A28" s="57"/>
      <c r="G28" s="59">
        <v>22</v>
      </c>
      <c r="H28" s="60">
        <f t="shared" si="3"/>
        <v>3.8013271108436499</v>
      </c>
      <c r="W28" s="1">
        <f t="shared" si="2"/>
        <v>17</v>
      </c>
    </row>
    <row r="29" spans="1:23" x14ac:dyDescent="0.3">
      <c r="A29" s="57"/>
      <c r="G29" s="59">
        <v>25</v>
      </c>
      <c r="H29" s="60">
        <f t="shared" si="3"/>
        <v>4.908738521234052</v>
      </c>
      <c r="W29" s="1">
        <f t="shared" si="2"/>
        <v>18</v>
      </c>
    </row>
    <row r="30" spans="1:23" x14ac:dyDescent="0.3">
      <c r="A30" s="57"/>
      <c r="G30" s="59">
        <v>28</v>
      </c>
      <c r="H30" s="60">
        <f t="shared" si="3"/>
        <v>6.1575216010359943</v>
      </c>
      <c r="W30" s="1">
        <f t="shared" si="2"/>
        <v>19</v>
      </c>
    </row>
    <row r="31" spans="1:23" ht="15" thickBot="1" x14ac:dyDescent="0.35">
      <c r="A31" s="57"/>
      <c r="G31" s="61">
        <v>32</v>
      </c>
      <c r="H31" s="62">
        <f t="shared" si="3"/>
        <v>8.0424771931898711</v>
      </c>
      <c r="W31" s="1">
        <f t="shared" si="2"/>
        <v>20</v>
      </c>
    </row>
  </sheetData>
  <mergeCells count="4">
    <mergeCell ref="A1:O1"/>
    <mergeCell ref="R2:V2"/>
    <mergeCell ref="A13:K13"/>
    <mergeCell ref="G14:K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STBP_SingleSection</vt:lpstr>
      <vt:lpstr>STBP_MultipleSection</vt:lpstr>
      <vt:lpstr>Help</vt:lpstr>
      <vt:lpstr>DataTable</vt:lpstr>
      <vt:lpstr>Beton</vt:lpstr>
      <vt:lpstr>Concrete</vt:lpstr>
      <vt:lpstr>CrossType</vt:lpstr>
      <vt:lpstr>ductility</vt:lpstr>
      <vt:lpstr>ductility2</vt:lpstr>
      <vt:lpstr>NoDataValidation</vt:lpstr>
      <vt:lpstr>pcs</vt:lpstr>
      <vt:lpstr>STBP_SingleSection!Print_Area</vt:lpstr>
      <vt:lpstr>Steel</vt:lpstr>
      <vt:lpstr>steel2</vt:lpstr>
      <vt:lpstr>SteelDiam</vt:lpstr>
      <vt:lpstr>ULS_Coef</vt:lpstr>
    </vt:vector>
  </TitlesOfParts>
  <Company>Rutex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</dc:creator>
  <cp:lastModifiedBy>StA</cp:lastModifiedBy>
  <cp:lastPrinted>2016-09-27T20:38:07Z</cp:lastPrinted>
  <dcterms:created xsi:type="dcterms:W3CDTF">2016-01-28T10:36:56Z</dcterms:created>
  <dcterms:modified xsi:type="dcterms:W3CDTF">2018-04-09T22:03:08Z</dcterms:modified>
</cp:coreProperties>
</file>