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wnload\Dropbox\001_work_rutex\xlWingsApps\EC\stbp_Calc\"/>
    </mc:Choice>
  </mc:AlternateContent>
  <bookViews>
    <workbookView xWindow="-12" yWindow="48" windowWidth="19320" windowHeight="12060"/>
  </bookViews>
  <sheets>
    <sheet name="STBP_Sheet" sheetId="1" r:id="rId1"/>
    <sheet name="Help" sheetId="4" r:id="rId2"/>
    <sheet name="DataTable" sheetId="3" r:id="rId3"/>
  </sheets>
  <functionGroups builtInGroupCount="18"/>
  <definedNames>
    <definedName name="Beton">DataTable!$A$5:$A$10</definedName>
    <definedName name="Concrete">DataTable!$A$5:$A$10</definedName>
    <definedName name="CrossType">DataTable!$R$12:$R$13</definedName>
    <definedName name="ductility">DataTable!$H$15:$J$15</definedName>
    <definedName name="ductility2">DataTable!$H$15:$K$15</definedName>
    <definedName name="pcs">DataTable!$W$12:$W$31</definedName>
    <definedName name="_xlnm.Print_Area" localSheetId="0">STBP_Sheet!$A$1:$K$46</definedName>
    <definedName name="Steel">DataTable!$A$16</definedName>
    <definedName name="steel2">DataTable!$A$16:$A$17</definedName>
    <definedName name="SteelDiam">DataTable!$G$21:$G$31</definedName>
    <definedName name="ULS_Coef">DataTable!$R$5:$R$7</definedName>
  </definedNames>
  <calcPr calcId="162913"/>
</workbook>
</file>

<file path=xl/calcChain.xml><?xml version="1.0" encoding="utf-8"?>
<calcChain xmlns="http://schemas.openxmlformats.org/spreadsheetml/2006/main">
  <c r="A8" i="4" l="1"/>
  <c r="A7" i="4"/>
  <c r="C39" i="1"/>
  <c r="E3" i="4" l="1"/>
  <c r="G3" i="4" s="1"/>
  <c r="A33" i="1"/>
  <c r="C33" i="1" s="1"/>
  <c r="A39" i="1"/>
  <c r="A32" i="1"/>
  <c r="B35" i="1"/>
  <c r="C35" i="1" s="1"/>
  <c r="E40" i="1"/>
  <c r="C40" i="1"/>
  <c r="G40" i="1" s="1"/>
  <c r="W13" i="3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K13" i="1"/>
  <c r="H13" i="1"/>
  <c r="D17" i="3"/>
  <c r="K18" i="3"/>
  <c r="D16" i="3"/>
  <c r="H14" i="1" s="1"/>
  <c r="C32" i="1" l="1"/>
  <c r="E32" i="1" s="1"/>
  <c r="G32" i="1" s="1"/>
  <c r="E33" i="1"/>
  <c r="G33" i="1" s="1"/>
  <c r="A40" i="1"/>
  <c r="E35" i="1"/>
  <c r="G35" i="1" s="1"/>
  <c r="C15" i="1"/>
  <c r="A15" i="1"/>
  <c r="A14" i="1"/>
  <c r="H22" i="3"/>
  <c r="H23" i="3"/>
  <c r="H24" i="3"/>
  <c r="H25" i="3"/>
  <c r="H26" i="3"/>
  <c r="H27" i="3"/>
  <c r="H28" i="3"/>
  <c r="H29" i="3"/>
  <c r="H30" i="3"/>
  <c r="H31" i="3"/>
  <c r="H21" i="3"/>
  <c r="E15" i="1"/>
  <c r="E9" i="1"/>
  <c r="E8" i="1"/>
  <c r="E7" i="1"/>
  <c r="R4" i="3"/>
  <c r="S4" i="3" s="1"/>
  <c r="T4" i="3" s="1"/>
  <c r="U4" i="3" s="1"/>
  <c r="V4" i="3" s="1"/>
  <c r="K6" i="1"/>
  <c r="B4" i="3"/>
  <c r="C4" i="3" s="1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H6" i="1"/>
  <c r="O6" i="3"/>
  <c r="O7" i="3" s="1"/>
  <c r="O8" i="3" s="1"/>
  <c r="O9" i="3" s="1"/>
  <c r="O10" i="3" s="1"/>
  <c r="N6" i="3"/>
  <c r="N7" i="3" s="1"/>
  <c r="N8" i="3" s="1"/>
  <c r="N9" i="3" s="1"/>
  <c r="N10" i="3" s="1"/>
  <c r="M6" i="3"/>
  <c r="M7" i="3" s="1"/>
  <c r="M8" i="3" s="1"/>
  <c r="M9" i="3" s="1"/>
  <c r="M10" i="3" s="1"/>
  <c r="L6" i="3"/>
  <c r="L7" i="3" s="1"/>
  <c r="L8" i="3" s="1"/>
  <c r="L9" i="3" s="1"/>
  <c r="L10" i="3" s="1"/>
  <c r="K6" i="3"/>
  <c r="K7" i="3" s="1"/>
  <c r="K8" i="3" s="1"/>
  <c r="K9" i="3" s="1"/>
  <c r="K10" i="3" s="1"/>
  <c r="J6" i="3"/>
  <c r="J7" i="3" s="1"/>
  <c r="J8" i="3" s="1"/>
  <c r="J9" i="3" s="1"/>
  <c r="J10" i="3" s="1"/>
  <c r="H7" i="1" l="1"/>
  <c r="K9" i="1"/>
  <c r="H16" i="1"/>
  <c r="H9" i="1"/>
</calcChain>
</file>

<file path=xl/sharedStrings.xml><?xml version="1.0" encoding="utf-8"?>
<sst xmlns="http://schemas.openxmlformats.org/spreadsheetml/2006/main" count="144" uniqueCount="114">
  <si>
    <t>БЕТОН-БЕТОН-БЕТОН-БЕТОН-БЕТОН-БЕТОН-БЕТОН-БЕТОН-БЕТОН-БЕТОН-БЕТОН-БЕТОН-БЕТОН-БЕТОН-БЕТОН-БЕТОН-БЕТОН-БЕТОН-БЕТОН</t>
  </si>
  <si>
    <t>C20/25</t>
  </si>
  <si>
    <t>C30/37</t>
  </si>
  <si>
    <t>C35/45</t>
  </si>
  <si>
    <t>C40/50</t>
  </si>
  <si>
    <t>C45/55</t>
  </si>
  <si>
    <t>fck</t>
  </si>
  <si>
    <t>fck,cube</t>
  </si>
  <si>
    <t>fcm</t>
  </si>
  <si>
    <t>fctm</t>
  </si>
  <si>
    <t>fctk,0.05</t>
  </si>
  <si>
    <t>fctk,0.95</t>
  </si>
  <si>
    <t>Ecm</t>
  </si>
  <si>
    <t>εc1</t>
  </si>
  <si>
    <t>n</t>
  </si>
  <si>
    <t>εcu1</t>
  </si>
  <si>
    <t>εc2</t>
  </si>
  <si>
    <t>εcu2</t>
  </si>
  <si>
    <t>εc3</t>
  </si>
  <si>
    <t>εcu3</t>
  </si>
  <si>
    <t>C25/30</t>
  </si>
  <si>
    <t>[MPa]</t>
  </si>
  <si>
    <t>[GPa]</t>
  </si>
  <si>
    <t>[‰]</t>
  </si>
  <si>
    <r>
      <t>α</t>
    </r>
    <r>
      <rPr>
        <vertAlign val="subscript"/>
        <sz val="11"/>
        <color theme="1"/>
        <rFont val="Calibri"/>
        <family val="2"/>
        <charset val="204"/>
      </rPr>
      <t>cc</t>
    </r>
    <r>
      <rPr>
        <sz val="11"/>
        <color theme="1"/>
        <rFont val="Calibri"/>
        <family val="2"/>
        <charset val="204"/>
      </rPr>
      <t>:</t>
    </r>
  </si>
  <si>
    <r>
      <t>γ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>: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</si>
  <si>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</si>
  <si>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-[kNm]:</t>
    </r>
  </si>
  <si>
    <r>
      <rPr>
        <b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</si>
  <si>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T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</si>
  <si>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fck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</si>
  <si>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εcu</t>
    </r>
    <r>
      <rPr>
        <sz val="11"/>
        <color theme="1"/>
        <rFont val="Calibri"/>
        <family val="2"/>
        <charset val="204"/>
      </rPr>
      <t>[‰]:</t>
    </r>
  </si>
  <si>
    <r>
      <rPr>
        <b/>
        <sz val="11"/>
        <color theme="1"/>
        <rFont val="Calibri"/>
        <family val="2"/>
        <charset val="204"/>
        <scheme val="minor"/>
      </rPr>
      <t>fcd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</si>
  <si>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fctm</t>
    </r>
    <r>
      <rPr>
        <sz val="11"/>
        <color theme="1"/>
        <rFont val="Calibri"/>
        <family val="2"/>
        <charset val="204"/>
        <scheme val="minor"/>
      </rPr>
      <t>[MPa]:</t>
    </r>
  </si>
  <si>
    <r>
      <t>α</t>
    </r>
    <r>
      <rPr>
        <vertAlign val="subscript"/>
        <sz val="11"/>
        <color theme="1"/>
        <rFont val="Calibri"/>
        <family val="2"/>
        <charset val="204"/>
      </rPr>
      <t>ct</t>
    </r>
    <r>
      <rPr>
        <sz val="11"/>
        <color theme="1"/>
        <rFont val="Calibri"/>
        <family val="2"/>
        <charset val="204"/>
      </rPr>
      <t>:</t>
    </r>
  </si>
  <si>
    <t>ACC</t>
  </si>
  <si>
    <t>SPEC</t>
  </si>
  <si>
    <t>Състояние</t>
  </si>
  <si>
    <t>αcc</t>
  </si>
  <si>
    <t>γc</t>
  </si>
  <si>
    <t>αct</t>
  </si>
  <si>
    <t>Perm/Var</t>
  </si>
  <si>
    <t>B500</t>
  </si>
  <si>
    <t>Вид</t>
  </si>
  <si>
    <t>fyk</t>
  </si>
  <si>
    <t>Es</t>
  </si>
  <si>
    <t>εud</t>
  </si>
  <si>
    <t>СТОМАНА--СТОМАНАС-СТОМАНА-СТОМАНАТ-СТОМАНА-СТОМАНА-СТОМАНА</t>
  </si>
  <si>
    <t>Клас по ДУКТИЛНОСТ</t>
  </si>
  <si>
    <t>A</t>
  </si>
  <si>
    <t>B</t>
  </si>
  <si>
    <t>C</t>
  </si>
  <si>
    <t>k=fck/fyk</t>
  </si>
  <si>
    <t>&gt;=</t>
  </si>
  <si>
    <r>
      <t>εuk</t>
    </r>
    <r>
      <rPr>
        <sz val="11"/>
        <color theme="1"/>
        <rFont val="Calibri"/>
        <family val="2"/>
        <charset val="204"/>
      </rPr>
      <t>[‰]</t>
    </r>
  </si>
  <si>
    <t>fact_for_εuk</t>
  </si>
  <si>
    <r>
      <rPr>
        <b/>
        <sz val="11"/>
        <color theme="1"/>
        <rFont val="Calibri"/>
        <family val="2"/>
        <charset val="204"/>
        <scheme val="minor"/>
      </rPr>
      <t>fyk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</si>
  <si>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εud</t>
    </r>
    <r>
      <rPr>
        <sz val="11"/>
        <color theme="1"/>
        <rFont val="Calibri"/>
        <family val="2"/>
        <charset val="204"/>
      </rPr>
      <t>[‰]:</t>
    </r>
  </si>
  <si>
    <r>
      <t>γ</t>
    </r>
    <r>
      <rPr>
        <vertAlign val="subscript"/>
        <sz val="11"/>
        <color theme="1"/>
        <rFont val="Calibri"/>
        <family val="2"/>
        <charset val="204"/>
      </rPr>
      <t>s</t>
    </r>
    <r>
      <rPr>
        <sz val="11"/>
        <color theme="1"/>
        <rFont val="Calibri"/>
        <family val="2"/>
        <charset val="204"/>
      </rPr>
      <t>:</t>
    </r>
  </si>
  <si>
    <t>Коефициенти при ULS</t>
  </si>
  <si>
    <t>γs</t>
  </si>
  <si>
    <r>
      <rPr>
        <b/>
        <sz val="11"/>
        <color theme="1"/>
        <rFont val="Calibri"/>
        <family val="2"/>
        <charset val="204"/>
        <scheme val="minor"/>
      </rPr>
      <t>fyd</t>
    </r>
    <r>
      <rPr>
        <sz val="11"/>
        <color theme="1"/>
        <rFont val="Calibri"/>
        <family val="2"/>
        <charset val="204"/>
        <scheme val="minor"/>
      </rPr>
      <t>[MPa]:</t>
    </r>
  </si>
  <si>
    <t>Φ</t>
  </si>
  <si>
    <t>A1</t>
  </si>
  <si>
    <r>
      <rPr>
        <b/>
        <sz val="11"/>
        <color theme="1"/>
        <rFont val="Calibri"/>
        <family val="2"/>
        <charset val="204"/>
        <scheme val="minor"/>
      </rPr>
      <t>cov</t>
    </r>
    <r>
      <rPr>
        <sz val="11"/>
        <color theme="1"/>
        <rFont val="Calibri"/>
        <family val="2"/>
        <charset val="204"/>
        <scheme val="minor"/>
      </rPr>
      <t>[cm]:</t>
    </r>
  </si>
  <si>
    <t>reinf:</t>
  </si>
  <si>
    <t>type:</t>
  </si>
  <si>
    <t>crossection type</t>
  </si>
  <si>
    <t>rec</t>
  </si>
  <si>
    <t>cir</t>
  </si>
  <si>
    <t>manual</t>
  </si>
  <si>
    <t>B400</t>
  </si>
  <si>
    <t>Cross-secton:</t>
  </si>
  <si>
    <t>Steel:</t>
  </si>
  <si>
    <t>Duct.:</t>
  </si>
  <si>
    <t>Concrete:</t>
  </si>
  <si>
    <t>Concrete</t>
  </si>
  <si>
    <t>Materials</t>
  </si>
  <si>
    <t>Case:</t>
  </si>
  <si>
    <t>Rectangular cross</t>
  </si>
  <si>
    <t>Influence:</t>
  </si>
  <si>
    <t>Version:</t>
  </si>
  <si>
    <t>Check ULS according to EC 2</t>
  </si>
  <si>
    <t>Project:</t>
  </si>
  <si>
    <t>Reinforcement</t>
  </si>
  <si>
    <t>Situation:</t>
  </si>
  <si>
    <r>
      <t xml:space="preserve">Force </t>
    </r>
    <r>
      <rPr>
        <b/>
        <vertAlign val="subscript"/>
        <sz val="11"/>
        <color theme="1"/>
        <rFont val="Calibri"/>
        <family val="2"/>
        <charset val="204"/>
        <scheme val="minor"/>
      </rPr>
      <t>ED</t>
    </r>
  </si>
  <si>
    <r>
      <rPr>
        <b/>
        <sz val="11"/>
        <color theme="1"/>
        <rFont val="Calibri"/>
        <family val="2"/>
        <charset val="204"/>
        <scheme val="minor"/>
      </rPr>
      <t>Es</t>
    </r>
    <r>
      <rPr>
        <sz val="11"/>
        <color theme="1"/>
        <rFont val="Calibri"/>
        <family val="2"/>
        <charset val="204"/>
        <scheme val="minor"/>
      </rPr>
      <t>[GPa]:</t>
    </r>
  </si>
  <si>
    <r>
      <rPr>
        <b/>
        <sz val="11"/>
        <color theme="1"/>
        <rFont val="Calibri"/>
        <family val="2"/>
        <charset val="204"/>
        <scheme val="minor"/>
      </rPr>
      <t>fctd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</si>
  <si>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long</t>
    </r>
    <r>
      <rPr>
        <sz val="11"/>
        <color theme="1"/>
        <rFont val="Calibri"/>
        <family val="2"/>
        <charset val="204"/>
        <scheme val="minor"/>
      </rPr>
      <t>[dia]:</t>
    </r>
  </si>
  <si>
    <r>
      <rPr>
        <b/>
        <sz val="11"/>
        <color theme="1"/>
        <rFont val="Calibri"/>
        <family val="2"/>
        <charset val="204"/>
        <scheme val="minor"/>
      </rPr>
      <t>cross</t>
    </r>
    <r>
      <rPr>
        <sz val="11"/>
        <color theme="1"/>
        <rFont val="Calibri"/>
        <family val="2"/>
        <charset val="204"/>
        <scheme val="minor"/>
      </rPr>
      <t>[dia]:</t>
    </r>
  </si>
  <si>
    <t>Attention</t>
  </si>
  <si>
    <t>reinforcement RESULTS:</t>
  </si>
  <si>
    <t>Notes:</t>
  </si>
  <si>
    <t>Bending</t>
  </si>
  <si>
    <t>Shear</t>
  </si>
  <si>
    <t>Torsion</t>
  </si>
  <si>
    <t>Single bending, shear, torsion</t>
  </si>
  <si>
    <t>брой пръти</t>
  </si>
  <si>
    <t>dia
[mm]</t>
  </si>
  <si>
    <t>n
[pcs]</t>
  </si>
  <si>
    <t>cl_space
[cm]</t>
  </si>
  <si>
    <t>s
[cm]</t>
  </si>
  <si>
    <t>Longitudinal reinforcement</t>
  </si>
  <si>
    <t>Transverse reinforcement</t>
  </si>
  <si>
    <r>
      <t>longitudinal-As1[cm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</si>
  <si>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</si>
  <si>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shearing cross-Аsw[cm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</si>
  <si>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t>longitudinal-Ast_12[cm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</si>
  <si>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longitudinal-Ast_lr[cm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</si>
  <si>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torsin cross-Aswt[cm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</si>
  <si>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стреме</t>
  </si>
  <si>
    <t>tot</t>
  </si>
  <si>
    <t>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</si>
</sst>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7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  <xf numFmtId="0" fontId="0" fillId="0" borderId="6" xfId="0" applyBorder="1"/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" borderId="9" xfId="0" applyFill="1" applyBorder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left" vertical="top"/>
    </xf>
    <xf numFmtId="0" fontId="0" fillId="0" borderId="0" xfId="0" applyBorder="1" applyAlignment="1">
      <alignment horizontal="right"/>
    </xf>
    <xf numFmtId="2" fontId="0" fillId="0" borderId="0" xfId="0" applyNumberFormat="1" applyBorder="1"/>
    <xf numFmtId="2" fontId="0" fillId="0" borderId="5" xfId="0" applyNumberFormat="1" applyBorder="1"/>
    <xf numFmtId="0" fontId="2" fillId="0" borderId="4" xfId="0" applyFont="1" applyBorder="1" applyAlignment="1">
      <alignment horizontal="right"/>
    </xf>
    <xf numFmtId="2" fontId="0" fillId="0" borderId="0" xfId="0" applyNumberFormat="1" applyFill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4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11" xfId="0" applyNumberFormat="1" applyFill="1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right"/>
    </xf>
    <xf numFmtId="2" fontId="0" fillId="0" borderId="11" xfId="0" applyNumberFormat="1" applyBorder="1"/>
    <xf numFmtId="0" fontId="2" fillId="0" borderId="14" xfId="0" applyFont="1" applyBorder="1" applyAlignment="1">
      <alignment horizontal="right"/>
    </xf>
    <xf numFmtId="2" fontId="0" fillId="0" borderId="15" xfId="0" applyNumberFormat="1" applyBorder="1" applyAlignment="1"/>
    <xf numFmtId="0" fontId="0" fillId="2" borderId="8" xfId="0" applyFill="1" applyBorder="1" applyAlignment="1">
      <alignment horizontal="center"/>
    </xf>
    <xf numFmtId="49" fontId="1" fillId="0" borderId="0" xfId="0" applyNumberFormat="1" applyFont="1"/>
    <xf numFmtId="0" fontId="0" fillId="0" borderId="16" xfId="0" applyBorder="1"/>
    <xf numFmtId="0" fontId="0" fillId="0" borderId="17" xfId="0" applyBorder="1"/>
    <xf numFmtId="22" fontId="0" fillId="0" borderId="0" xfId="0" applyNumberFormat="1" applyBorder="1"/>
    <xf numFmtId="22" fontId="0" fillId="0" borderId="18" xfId="0" applyNumberFormat="1" applyBorder="1"/>
    <xf numFmtId="0" fontId="2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0" fillId="0" borderId="5" xfId="0" applyFill="1" applyBorder="1"/>
    <xf numFmtId="0" fontId="0" fillId="0" borderId="8" xfId="0" applyFill="1" applyBorder="1"/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/>
    <xf numFmtId="0" fontId="0" fillId="0" borderId="6" xfId="0" applyBorder="1" applyAlignment="1">
      <alignment horizontal="center"/>
    </xf>
    <xf numFmtId="164" fontId="0" fillId="0" borderId="8" xfId="0" applyNumberFormat="1" applyBorder="1"/>
    <xf numFmtId="0" fontId="0" fillId="0" borderId="20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2" borderId="21" xfId="0" applyFill="1" applyBorder="1"/>
    <xf numFmtId="0" fontId="0" fillId="2" borderId="23" xfId="0" applyFill="1" applyBorder="1"/>
    <xf numFmtId="22" fontId="0" fillId="0" borderId="17" xfId="0" applyNumberFormat="1" applyBorder="1"/>
    <xf numFmtId="0" fontId="0" fillId="0" borderId="0" xfId="0" applyAlignment="1">
      <alignment horizontal="center" vertical="center" wrapText="1"/>
    </xf>
    <xf numFmtId="2" fontId="0" fillId="2" borderId="25" xfId="0" applyNumberFormat="1" applyFill="1" applyBorder="1"/>
    <xf numFmtId="0" fontId="0" fillId="2" borderId="24" xfId="0" applyFill="1" applyBorder="1" applyAlignment="1">
      <alignment horizontal="center" vertical="center" wrapText="1"/>
    </xf>
    <xf numFmtId="0" fontId="7" fillId="0" borderId="0" xfId="0" applyFont="1"/>
    <xf numFmtId="0" fontId="9" fillId="0" borderId="0" xfId="0" applyFont="1"/>
    <xf numFmtId="2" fontId="0" fillId="0" borderId="0" xfId="0" applyNumberFormat="1"/>
    <xf numFmtId="49" fontId="0" fillId="0" borderId="0" xfId="0" applyNumberFormat="1"/>
    <xf numFmtId="0" fontId="1" fillId="0" borderId="6" xfId="0" applyFont="1" applyBorder="1"/>
    <xf numFmtId="0" fontId="1" fillId="0" borderId="0" xfId="0" applyFont="1" applyAlignment="1">
      <alignment horizontal="right" wrapText="1"/>
    </xf>
    <xf numFmtId="2" fontId="0" fillId="0" borderId="0" xfId="0" applyNumberFormat="1" applyBorder="1" applyAlignment="1"/>
    <xf numFmtId="0" fontId="0" fillId="2" borderId="0" xfId="0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vertical="center" textRotation="45" wrapText="1"/>
    </xf>
    <xf numFmtId="0" fontId="1" fillId="0" borderId="0" xfId="0" applyFont="1"/>
    <xf numFmtId="0" fontId="0" fillId="0" borderId="0" xfId="0" applyFont="1" applyBorder="1"/>
    <xf numFmtId="2" fontId="0" fillId="0" borderId="0" xfId="0" applyNumberFormat="1" applyFont="1" applyBorder="1" applyAlignment="1"/>
    <xf numFmtId="2" fontId="0" fillId="0" borderId="0" xfId="0" applyNumberFormat="1" applyFont="1" applyBorder="1"/>
    <xf numFmtId="0" fontId="0" fillId="0" borderId="11" xfId="0" applyFont="1" applyBorder="1"/>
    <xf numFmtId="2" fontId="0" fillId="0" borderId="11" xfId="0" applyNumberFormat="1" applyFont="1" applyBorder="1" applyAlignment="1"/>
    <xf numFmtId="0" fontId="0" fillId="0" borderId="5" xfId="0" applyFont="1" applyBorder="1"/>
    <xf numFmtId="0" fontId="0" fillId="0" borderId="4" xfId="0" applyFont="1" applyBorder="1" applyAlignment="1">
      <alignment horizontal="center" vertical="center"/>
    </xf>
    <xf numFmtId="0" fontId="0" fillId="0" borderId="10" xfId="0" applyFont="1" applyBorder="1"/>
    <xf numFmtId="2" fontId="0" fillId="0" borderId="10" xfId="0" applyNumberFormat="1" applyFont="1" applyBorder="1" applyAlignment="1"/>
    <xf numFmtId="165" fontId="0" fillId="0" borderId="0" xfId="0" applyNumberFormat="1"/>
    <xf numFmtId="0" fontId="0" fillId="0" borderId="0" xfId="0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13" xfId="0" applyFont="1" applyBorder="1"/>
    <xf numFmtId="0" fontId="0" fillId="0" borderId="15" xfId="0" applyFont="1" applyBorder="1"/>
    <xf numFmtId="0" fontId="0" fillId="0" borderId="7" xfId="0" applyFont="1" applyBorder="1"/>
    <xf numFmtId="0" fontId="0" fillId="0" borderId="7" xfId="0" applyFont="1" applyBorder="1" applyAlignment="1">
      <alignment horizontal="right"/>
    </xf>
    <xf numFmtId="2" fontId="0" fillId="0" borderId="7" xfId="0" applyNumberFormat="1" applyFont="1" applyBorder="1" applyAlignment="1"/>
    <xf numFmtId="0" fontId="0" fillId="0" borderId="8" xfId="0" applyFont="1" applyBorder="1"/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0" borderId="5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10" xfId="0" applyNumberFormat="1" applyBorder="1"/>
    <xf numFmtId="0" fontId="0" fillId="2" borderId="10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2" fontId="0" fillId="0" borderId="10" xfId="0" applyNumberFormat="1" applyBorder="1" applyAlignment="1">
      <alignment horizontal="right"/>
    </xf>
    <xf numFmtId="2" fontId="0" fillId="0" borderId="13" xfId="0" applyNumberFormat="1" applyBorder="1" applyAlignment="1">
      <alignment horizontal="center"/>
    </xf>
    <xf numFmtId="0" fontId="0" fillId="0" borderId="14" xfId="0" applyBorder="1"/>
    <xf numFmtId="2" fontId="0" fillId="0" borderId="1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2" borderId="10" xfId="0" applyNumberFormat="1" applyFill="1" applyBorder="1"/>
    <xf numFmtId="0" fontId="0" fillId="0" borderId="12" xfId="0" applyBorder="1" applyAlignment="1">
      <alignment horizontal="right"/>
    </xf>
    <xf numFmtId="0" fontId="0" fillId="0" borderId="10" xfId="0" applyBorder="1" applyAlignment="1"/>
    <xf numFmtId="0" fontId="0" fillId="0" borderId="4" xfId="0" applyBorder="1" applyAlignment="1">
      <alignment horizontal="right"/>
    </xf>
    <xf numFmtId="0" fontId="0" fillId="0" borderId="0" xfId="0" applyBorder="1" applyAlignment="1"/>
    <xf numFmtId="0" fontId="0" fillId="0" borderId="10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2" xfId="0" applyFont="1" applyBorder="1" applyAlignment="1">
      <alignment horizontal="center" vertical="center" textRotation="45" wrapText="1"/>
    </xf>
    <xf numFmtId="0" fontId="0" fillId="0" borderId="4" xfId="0" applyFont="1" applyBorder="1" applyAlignment="1">
      <alignment horizontal="center" vertical="center" textRotation="45" wrapText="1"/>
    </xf>
    <xf numFmtId="0" fontId="0" fillId="0" borderId="6" xfId="0" applyFont="1" applyBorder="1" applyAlignment="1">
      <alignment horizontal="center" vertical="center" textRotation="45" wrapText="1"/>
    </xf>
    <xf numFmtId="0" fontId="0" fillId="0" borderId="10" xfId="0" applyFont="1" applyBorder="1" applyAlignment="1"/>
    <xf numFmtId="0" fontId="0" fillId="0" borderId="11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" xfId="0" applyFont="1" applyBorder="1" applyAlignment="1">
      <alignment horizontal="center" wrapText="1"/>
    </xf>
    <xf numFmtId="0" fontId="0" fillId="0" borderId="2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0" xfId="0" applyFont="1" applyBorder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>
      <alignment horizontal="center" vertical="center" textRotation="45" wrapText="1"/>
    </xf>
    <xf numFmtId="0" fontId="1" fillId="0" borderId="0" xfId="0" applyFont="1" applyAlignment="1">
      <alignment horizontal="left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26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3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115955</xdr:colOff>
      <xdr:row>31</xdr:row>
      <xdr:rowOff>148485</xdr:rowOff>
    </xdr:from>
    <xdr:to>
      <xdr:col>10</xdr:col>
      <xdr:colOff>364433</xdr:colOff>
      <xdr:row>38</xdr:row>
      <xdr:rowOff>137907</xdr:rowOff>
    </xdr:to>
    <xdr:pic>
      <xdr:nvPicPr>
        <xdr:cNvPr id="10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50194" y="6410137"/>
          <a:ext cx="1615109" cy="139746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23</xdr:row>
          <xdr:rowOff>7620</xdr:rowOff>
        </xdr:from>
        <xdr:to>
          <xdr:col>12</xdr:col>
          <xdr:colOff>1165860</xdr:colOff>
          <xdr:row>25</xdr:row>
          <xdr:rowOff>83820</xdr:rowOff>
        </xdr:to>
        <xdr:sp macro="" textlink="">
          <xdr:nvSpPr>
            <xdr:cNvPr id="1025" name="Calculate_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0"/>
  <sheetViews>
    <sheetView tabSelected="1" view="pageBreakPreview" zoomScaleNormal="100" zoomScaleSheetLayoutView="100" workbookViewId="0">
      <selection activeCell="C32" sqref="C32"/>
    </sheetView>
  </sheetViews>
  <sheetFormatPr defaultRowHeight="14.4" x14ac:dyDescent="0.3"/>
  <cols>
    <col min="1" max="2" width="9.109375" customWidth="1"/>
    <col min="3" max="3" width="11.109375" bestFit="1" customWidth="1"/>
    <col min="5" max="5" width="9.6640625" customWidth="1"/>
    <col min="6" max="6" width="1.33203125" customWidth="1"/>
    <col min="7" max="7" width="9.109375" customWidth="1"/>
    <col min="8" max="8" width="7.88671875" customWidth="1"/>
    <col min="9" max="9" width="1.33203125" customWidth="1"/>
    <col min="10" max="10" width="11.109375" customWidth="1"/>
    <col min="11" max="11" width="7.88671875" customWidth="1"/>
    <col min="13" max="13" width="18.6640625" customWidth="1"/>
    <col min="16" max="16" width="28" customWidth="1"/>
  </cols>
  <sheetData>
    <row r="1" spans="1:16" x14ac:dyDescent="0.3">
      <c r="A1" s="144" t="s">
        <v>82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P1" t="s">
        <v>93</v>
      </c>
    </row>
    <row r="2" spans="1:16" ht="44.25" customHeight="1" x14ac:dyDescent="0.3">
      <c r="A2" s="92" t="s">
        <v>83</v>
      </c>
      <c r="B2" s="145" t="s">
        <v>113</v>
      </c>
      <c r="C2" s="146"/>
      <c r="D2" s="146"/>
      <c r="E2" s="146"/>
      <c r="F2" s="146"/>
      <c r="G2" s="146"/>
      <c r="H2" s="146"/>
      <c r="I2" s="146"/>
      <c r="J2" s="146"/>
      <c r="K2" s="146"/>
    </row>
    <row r="3" spans="1:16" ht="15" thickBot="1" x14ac:dyDescent="0.35">
      <c r="A3" s="29" t="s">
        <v>78</v>
      </c>
      <c r="B3" s="28" t="s">
        <v>79</v>
      </c>
      <c r="C3" s="28"/>
      <c r="D3" s="28" t="s">
        <v>80</v>
      </c>
      <c r="E3" s="28" t="s">
        <v>97</v>
      </c>
      <c r="F3" s="28"/>
      <c r="G3" s="28"/>
      <c r="H3" s="28"/>
      <c r="I3" s="28"/>
      <c r="J3" s="30" t="s">
        <v>81</v>
      </c>
      <c r="K3" s="31">
        <v>0</v>
      </c>
    </row>
    <row r="4" spans="1:16" ht="15" x14ac:dyDescent="0.35">
      <c r="A4" s="147" t="s">
        <v>86</v>
      </c>
      <c r="B4" s="148"/>
      <c r="C4" s="72" t="s">
        <v>91</v>
      </c>
      <c r="D4" s="147" t="s">
        <v>77</v>
      </c>
      <c r="E4" s="149"/>
      <c r="F4" s="149"/>
      <c r="G4" s="149"/>
      <c r="H4" s="149"/>
      <c r="I4" s="149"/>
      <c r="J4" s="149"/>
      <c r="K4" s="148"/>
    </row>
    <row r="5" spans="1:16" x14ac:dyDescent="0.3">
      <c r="A5" s="16" t="s">
        <v>26</v>
      </c>
      <c r="B5" s="17">
        <v>0</v>
      </c>
      <c r="D5" s="152" t="s">
        <v>76</v>
      </c>
      <c r="E5" s="153"/>
      <c r="F5" s="153"/>
      <c r="G5" s="153"/>
      <c r="H5" s="153"/>
      <c r="I5" s="153"/>
      <c r="J5" s="153"/>
      <c r="K5" s="154"/>
    </row>
    <row r="6" spans="1:16" x14ac:dyDescent="0.3">
      <c r="A6" s="16" t="s">
        <v>27</v>
      </c>
      <c r="B6" s="17">
        <v>150</v>
      </c>
      <c r="D6" s="16" t="s">
        <v>75</v>
      </c>
      <c r="E6" s="21" t="s">
        <v>2</v>
      </c>
      <c r="F6" s="4"/>
      <c r="G6" s="32" t="s">
        <v>30</v>
      </c>
      <c r="H6" s="33">
        <f>VLOOKUP(E6,DataTable!A5:O10,2,)</f>
        <v>30</v>
      </c>
      <c r="I6" s="33"/>
      <c r="J6" s="32" t="s">
        <v>33</v>
      </c>
      <c r="K6" s="34">
        <f>VLOOKUP(E6,DataTable!A5:O10,5,)</f>
        <v>2.9</v>
      </c>
    </row>
    <row r="7" spans="1:16" ht="15.6" x14ac:dyDescent="0.35">
      <c r="A7" s="16" t="s">
        <v>28</v>
      </c>
      <c r="B7" s="17">
        <v>550</v>
      </c>
      <c r="D7" s="35" t="s">
        <v>25</v>
      </c>
      <c r="E7" s="36">
        <f>VLOOKUP(STBP_Sheet!B10,DataTable!R5:U7,2,)</f>
        <v>1.5</v>
      </c>
      <c r="F7" s="4"/>
      <c r="G7" s="37" t="s">
        <v>31</v>
      </c>
      <c r="H7" s="33">
        <f>VLOOKUP(E6,DataTable!A5:O10,10,)</f>
        <v>3.5</v>
      </c>
      <c r="I7" s="33"/>
      <c r="J7" s="4"/>
      <c r="K7" s="5"/>
    </row>
    <row r="8" spans="1:16" ht="15.6" x14ac:dyDescent="0.35">
      <c r="A8" s="16" t="s">
        <v>29</v>
      </c>
      <c r="B8" s="17">
        <v>0</v>
      </c>
      <c r="D8" s="35" t="s">
        <v>24</v>
      </c>
      <c r="E8" s="36">
        <f>VLOOKUP(STBP_Sheet!B10,DataTable!R5:U7,3,)</f>
        <v>0.85</v>
      </c>
      <c r="F8" s="4"/>
      <c r="G8" s="4"/>
      <c r="H8" s="4"/>
      <c r="I8" s="4"/>
      <c r="J8" s="4"/>
      <c r="K8" s="5"/>
    </row>
    <row r="9" spans="1:16" ht="15.6" x14ac:dyDescent="0.35">
      <c r="A9" s="3"/>
      <c r="B9" s="5"/>
      <c r="D9" s="44" t="s">
        <v>34</v>
      </c>
      <c r="E9" s="40">
        <f>VLOOKUP(STBP_Sheet!B10,DataTable!R5:U7,4,)</f>
        <v>1</v>
      </c>
      <c r="F9" s="41"/>
      <c r="G9" s="42" t="s">
        <v>32</v>
      </c>
      <c r="H9" s="43">
        <f>H6*E8/E7</f>
        <v>17</v>
      </c>
      <c r="I9" s="43"/>
      <c r="J9" s="42" t="s">
        <v>88</v>
      </c>
      <c r="K9" s="45">
        <f>VLOOKUP(E6,DataTable!A5:O10,6,)*E9/E7</f>
        <v>1.3333333333333333</v>
      </c>
      <c r="M9" s="73"/>
      <c r="N9" s="73"/>
    </row>
    <row r="10" spans="1:16" ht="15" thickBot="1" x14ac:dyDescent="0.35">
      <c r="A10" s="75" t="s">
        <v>85</v>
      </c>
      <c r="B10" s="46" t="s">
        <v>41</v>
      </c>
      <c r="D10" s="3"/>
      <c r="E10" s="4"/>
      <c r="F10" s="4"/>
      <c r="G10" s="4"/>
      <c r="H10" s="4"/>
      <c r="I10" s="4"/>
      <c r="J10" s="4"/>
      <c r="K10" s="5"/>
    </row>
    <row r="11" spans="1:16" x14ac:dyDescent="0.3">
      <c r="A11" s="93"/>
      <c r="B11" s="47"/>
      <c r="D11" s="3"/>
      <c r="E11" s="4"/>
      <c r="F11" s="4"/>
      <c r="G11" s="4"/>
      <c r="H11" s="4"/>
      <c r="I11" s="4"/>
      <c r="J11" s="4"/>
      <c r="K11" s="5"/>
    </row>
    <row r="12" spans="1:16" x14ac:dyDescent="0.3">
      <c r="A12" s="155" t="s">
        <v>72</v>
      </c>
      <c r="B12" s="155"/>
      <c r="D12" s="152" t="s">
        <v>84</v>
      </c>
      <c r="E12" s="153"/>
      <c r="F12" s="153"/>
      <c r="G12" s="153"/>
      <c r="H12" s="153"/>
      <c r="I12" s="153"/>
      <c r="J12" s="153"/>
      <c r="K12" s="154"/>
    </row>
    <row r="13" spans="1:16" x14ac:dyDescent="0.3">
      <c r="A13" s="76" t="s">
        <v>66</v>
      </c>
      <c r="B13" s="70" t="s">
        <v>68</v>
      </c>
      <c r="D13" s="38" t="s">
        <v>73</v>
      </c>
      <c r="E13" s="27" t="s">
        <v>42</v>
      </c>
      <c r="F13" s="4"/>
      <c r="G13" s="32" t="s">
        <v>56</v>
      </c>
      <c r="H13" s="33">
        <f>VLOOKUP(E13,DataTable!A16:E17,2,)</f>
        <v>500</v>
      </c>
      <c r="I13" s="4"/>
      <c r="J13" s="32" t="s">
        <v>87</v>
      </c>
      <c r="K13" s="34">
        <f>VLOOKUP(E13,DataTable!A16:E17,3,)</f>
        <v>200</v>
      </c>
      <c r="M13" s="1"/>
    </row>
    <row r="14" spans="1:16" x14ac:dyDescent="0.3">
      <c r="A14" s="2" t="str">
        <f>IF(B13="rec","b[cm]","R[cm]")</f>
        <v>b[cm]</v>
      </c>
      <c r="B14" s="69">
        <v>100</v>
      </c>
      <c r="D14" s="38" t="s">
        <v>74</v>
      </c>
      <c r="E14" s="27" t="s">
        <v>70</v>
      </c>
      <c r="F14" s="4"/>
      <c r="G14" s="37" t="s">
        <v>57</v>
      </c>
      <c r="H14" s="4">
        <f>VLOOKUP(E13,DataTable!A16:E17,4,)</f>
        <v>25</v>
      </c>
      <c r="I14" s="4"/>
      <c r="J14" s="4"/>
      <c r="K14" s="5"/>
    </row>
    <row r="15" spans="1:16" ht="15.6" x14ac:dyDescent="0.35">
      <c r="A15" s="2" t="str">
        <f>IF(B13="rec","h[cm]","")</f>
        <v>h[cm]</v>
      </c>
      <c r="B15" s="69">
        <v>90</v>
      </c>
      <c r="C15" s="71" t="str">
        <f>IF(B13="cir","&lt;-remove","")</f>
        <v/>
      </c>
      <c r="D15" s="35" t="s">
        <v>58</v>
      </c>
      <c r="E15" s="4">
        <f>VLOOKUP(STBP_Sheet!B10,DataTable!R5:V7,5,)</f>
        <v>1.1499999999999999</v>
      </c>
      <c r="F15" s="4"/>
      <c r="G15" s="4"/>
      <c r="H15" s="4"/>
      <c r="I15" s="4"/>
      <c r="J15" s="4"/>
      <c r="K15" s="5"/>
    </row>
    <row r="16" spans="1:16" ht="15" thickBot="1" x14ac:dyDescent="0.35">
      <c r="A16" s="2" t="s">
        <v>64</v>
      </c>
      <c r="B16" s="69">
        <v>5</v>
      </c>
      <c r="D16" s="13"/>
      <c r="E16" s="23"/>
      <c r="F16" s="23"/>
      <c r="G16" s="39" t="s">
        <v>61</v>
      </c>
      <c r="H16" s="23">
        <f>H13/E15</f>
        <v>434.78260869565219</v>
      </c>
      <c r="I16" s="23"/>
      <c r="J16" s="23"/>
      <c r="K16" s="24"/>
    </row>
    <row r="17" spans="1:16" ht="15" thickBot="1" x14ac:dyDescent="0.35">
      <c r="A17" s="150" t="s">
        <v>65</v>
      </c>
      <c r="B17" s="151"/>
    </row>
    <row r="18" spans="1:16" ht="15" customHeight="1" x14ac:dyDescent="0.3">
      <c r="A18" s="63" t="s">
        <v>89</v>
      </c>
      <c r="B18" s="65">
        <v>32</v>
      </c>
      <c r="D18" s="138" t="s">
        <v>92</v>
      </c>
      <c r="E18" s="139"/>
      <c r="F18" s="139"/>
      <c r="G18" s="139"/>
      <c r="H18" s="139"/>
      <c r="I18" s="139"/>
      <c r="J18" s="139"/>
      <c r="K18" s="140"/>
    </row>
    <row r="19" spans="1:16" ht="16.2" x14ac:dyDescent="0.3">
      <c r="A19" s="64" t="s">
        <v>90</v>
      </c>
      <c r="B19" s="66">
        <v>14</v>
      </c>
      <c r="D19" s="132" t="s">
        <v>94</v>
      </c>
      <c r="E19" s="123" t="s">
        <v>105</v>
      </c>
      <c r="F19" s="135"/>
      <c r="G19" s="135"/>
      <c r="H19" s="135"/>
      <c r="I19" s="89"/>
      <c r="J19" s="90">
        <v>4.3503942233666937</v>
      </c>
      <c r="K19" s="94"/>
      <c r="L19" s="4"/>
      <c r="M19" s="4"/>
      <c r="N19" s="4"/>
      <c r="P19" s="91"/>
    </row>
    <row r="20" spans="1:16" ht="15" customHeight="1" x14ac:dyDescent="0.3">
      <c r="C20" s="74"/>
      <c r="D20" s="143"/>
      <c r="E20" s="136" t="s">
        <v>106</v>
      </c>
      <c r="F20" s="137"/>
      <c r="G20" s="137"/>
      <c r="H20" s="137"/>
      <c r="I20" s="85"/>
      <c r="J20" s="86">
        <v>0</v>
      </c>
      <c r="K20" s="95"/>
      <c r="L20" s="4"/>
      <c r="M20" s="4"/>
      <c r="N20" s="4"/>
    </row>
    <row r="21" spans="1:16" ht="5.25" customHeight="1" x14ac:dyDescent="0.3">
      <c r="D21" s="88"/>
      <c r="E21" s="84"/>
      <c r="F21" s="82"/>
      <c r="G21" s="82"/>
      <c r="H21" s="82"/>
      <c r="I21" s="82"/>
      <c r="J21" s="83"/>
      <c r="K21" s="87"/>
      <c r="L21" s="4"/>
      <c r="M21" s="4"/>
      <c r="N21" s="4"/>
    </row>
    <row r="22" spans="1:16" ht="16.8" thickBot="1" x14ac:dyDescent="0.35">
      <c r="D22" s="132" t="s">
        <v>95</v>
      </c>
      <c r="E22" s="123" t="s">
        <v>105</v>
      </c>
      <c r="F22" s="135"/>
      <c r="G22" s="135"/>
      <c r="H22" s="135"/>
      <c r="I22" s="89"/>
      <c r="J22" s="90">
        <v>9.4875000000000007</v>
      </c>
      <c r="K22" s="94"/>
      <c r="L22" s="4"/>
      <c r="M22" s="4"/>
      <c r="N22" s="4"/>
      <c r="P22" s="81"/>
    </row>
    <row r="23" spans="1:16" ht="16.2" x14ac:dyDescent="0.3">
      <c r="D23" s="143"/>
      <c r="E23" s="136" t="s">
        <v>107</v>
      </c>
      <c r="F23" s="137"/>
      <c r="G23" s="137"/>
      <c r="H23" s="137"/>
      <c r="I23" s="85"/>
      <c r="J23" s="86">
        <v>6.7412736477484687</v>
      </c>
      <c r="K23" s="95"/>
      <c r="L23" s="4"/>
      <c r="M23" s="48"/>
      <c r="N23" s="4"/>
    </row>
    <row r="24" spans="1:16" x14ac:dyDescent="0.3">
      <c r="D24" s="88"/>
      <c r="E24" s="82"/>
      <c r="F24" s="82"/>
      <c r="G24" s="82"/>
      <c r="H24" s="82"/>
      <c r="I24" s="82"/>
      <c r="J24" s="83"/>
      <c r="K24" s="87"/>
      <c r="L24" s="4"/>
      <c r="M24" s="49"/>
      <c r="N24" s="4"/>
    </row>
    <row r="25" spans="1:16" ht="3.75" customHeight="1" x14ac:dyDescent="0.3">
      <c r="D25" s="88"/>
      <c r="E25" s="82"/>
      <c r="F25" s="82"/>
      <c r="G25" s="82"/>
      <c r="H25" s="82"/>
      <c r="I25" s="82"/>
      <c r="J25" s="83"/>
      <c r="K25" s="87"/>
      <c r="L25" s="4"/>
      <c r="M25" s="67"/>
      <c r="N25" s="50"/>
    </row>
    <row r="26" spans="1:16" ht="16.8" thickBot="1" x14ac:dyDescent="0.35">
      <c r="D26" s="132" t="s">
        <v>96</v>
      </c>
      <c r="E26" s="123" t="s">
        <v>108</v>
      </c>
      <c r="F26" s="135"/>
      <c r="G26" s="135"/>
      <c r="H26" s="135"/>
      <c r="I26" s="89"/>
      <c r="J26" s="90">
        <v>0</v>
      </c>
      <c r="K26" s="94"/>
      <c r="L26" s="4"/>
      <c r="M26" s="51">
        <v>42643.567199074074</v>
      </c>
      <c r="N26" s="4"/>
    </row>
    <row r="27" spans="1:16" ht="16.2" x14ac:dyDescent="0.3">
      <c r="D27" s="133"/>
      <c r="E27" s="141" t="s">
        <v>109</v>
      </c>
      <c r="F27" s="142"/>
      <c r="G27" s="142"/>
      <c r="H27" s="142"/>
      <c r="I27" s="82"/>
      <c r="J27" s="83">
        <v>0</v>
      </c>
      <c r="K27" s="87"/>
      <c r="L27" s="4"/>
      <c r="M27" s="4"/>
      <c r="N27" s="4"/>
    </row>
    <row r="28" spans="1:16" ht="16.8" thickBot="1" x14ac:dyDescent="0.35">
      <c r="D28" s="134"/>
      <c r="E28" s="96"/>
      <c r="F28" s="96"/>
      <c r="G28" s="96"/>
      <c r="H28" s="97" t="s">
        <v>110</v>
      </c>
      <c r="I28" s="96"/>
      <c r="J28" s="98">
        <v>0</v>
      </c>
      <c r="K28" s="99"/>
      <c r="L28" s="4"/>
      <c r="M28" s="4"/>
      <c r="N28" s="4"/>
    </row>
    <row r="29" spans="1:16" ht="15" thickBot="1" x14ac:dyDescent="0.35">
      <c r="D29" s="80"/>
      <c r="E29" s="4"/>
      <c r="F29" s="4"/>
      <c r="G29" s="4"/>
      <c r="H29" s="32"/>
      <c r="I29" s="4"/>
      <c r="J29" s="77"/>
      <c r="K29" s="4"/>
      <c r="L29" s="4"/>
      <c r="M29" s="4"/>
      <c r="N29" s="4"/>
    </row>
    <row r="30" spans="1:16" x14ac:dyDescent="0.3">
      <c r="A30" s="126" t="s">
        <v>103</v>
      </c>
      <c r="B30" s="127"/>
      <c r="C30" s="127"/>
      <c r="D30" s="127"/>
      <c r="E30" s="127"/>
      <c r="F30" s="127"/>
      <c r="G30" s="128"/>
    </row>
    <row r="31" spans="1:16" ht="32.25" customHeight="1" x14ac:dyDescent="0.3">
      <c r="A31" s="3"/>
      <c r="B31" s="4"/>
      <c r="C31" s="4"/>
      <c r="D31" s="100" t="s">
        <v>99</v>
      </c>
      <c r="E31" s="100" t="s">
        <v>100</v>
      </c>
      <c r="F31" s="4"/>
      <c r="G31" s="101" t="s">
        <v>101</v>
      </c>
    </row>
    <row r="32" spans="1:16" x14ac:dyDescent="0.3">
      <c r="A32" s="119" t="str">
        <f>IF(J19+J22+J26&gt;0,"As1[cm2]","-")</f>
        <v>As1[cm2]</v>
      </c>
      <c r="B32" s="120"/>
      <c r="C32" s="106">
        <f>IF(A32&lt;&gt;"-",J19+J22+J26,A32)</f>
        <v>13.837894223366694</v>
      </c>
      <c r="D32" s="107">
        <v>32</v>
      </c>
      <c r="E32" s="108">
        <f>IF(A32&lt;&gt;"-",ROUNDUP(C32/PI()/(D32/20)^2,0),A32)</f>
        <v>2</v>
      </c>
      <c r="F32" s="109"/>
      <c r="G32" s="112">
        <f>IF(A32&lt;&gt;"-",((B14-(B16+D39/10)*2)-E32*D32/10)/(E32-1),A32)</f>
        <v>80.8</v>
      </c>
    </row>
    <row r="33" spans="1:7" x14ac:dyDescent="0.3">
      <c r="A33" s="121" t="str">
        <f>IF(J20+J26&gt;0,"As2[cm2]","-")</f>
        <v>-</v>
      </c>
      <c r="B33" s="122"/>
      <c r="C33" s="33" t="str">
        <f>IF(A33&lt;&gt;"-",J20+J26,A33)</f>
        <v>-</v>
      </c>
      <c r="D33" s="78">
        <v>8</v>
      </c>
      <c r="E33" s="32" t="str">
        <f>IF(A33="-",A33,IF(ROUNDUP(C33/PI()/(D33/20)^2,0)=1,2,ROUNDUP(C33/PI()/(D33/20)^2,0)))</f>
        <v>-</v>
      </c>
      <c r="F33" s="4"/>
      <c r="G33" s="102" t="str">
        <f>IF(A33&lt;&gt;"-",((B14-(B16+D39/10)*2)-E33*D33/10)/(E33-1),A33)</f>
        <v>-</v>
      </c>
    </row>
    <row r="34" spans="1:7" ht="3.75" customHeight="1" x14ac:dyDescent="0.3">
      <c r="A34" s="3"/>
      <c r="B34" s="4"/>
      <c r="C34" s="4"/>
      <c r="D34" s="4"/>
      <c r="E34" s="32"/>
      <c r="F34" s="4"/>
      <c r="G34" s="5"/>
    </row>
    <row r="35" spans="1:7" x14ac:dyDescent="0.3">
      <c r="A35" s="113"/>
      <c r="B35" s="42" t="str">
        <f>IF(J27&gt;0,"As_side-lr[cm2]","-")</f>
        <v>-</v>
      </c>
      <c r="C35" s="43" t="str">
        <f>IF(B35&lt;&gt;"-",J27,"-")</f>
        <v>-</v>
      </c>
      <c r="D35" s="110">
        <v>8</v>
      </c>
      <c r="E35" s="42" t="str">
        <f>IF(B35&lt;&gt;"-",ROUNDUP(C35/PI()/(D35/20)^2,0),B35)</f>
        <v>-</v>
      </c>
      <c r="F35" s="41"/>
      <c r="G35" s="114" t="str">
        <f>IF(B35&lt;&gt;"-",((B15-(B16+D39/10)*2)-E35*D35/10)/(E35-1),B35)</f>
        <v>-</v>
      </c>
    </row>
    <row r="36" spans="1:7" x14ac:dyDescent="0.3">
      <c r="A36" s="3"/>
      <c r="B36" s="32"/>
      <c r="C36" s="33"/>
      <c r="D36" s="4"/>
      <c r="E36" s="32"/>
      <c r="F36" s="4"/>
      <c r="G36" s="102"/>
    </row>
    <row r="37" spans="1:7" x14ac:dyDescent="0.3">
      <c r="A37" s="129" t="s">
        <v>104</v>
      </c>
      <c r="B37" s="130"/>
      <c r="C37" s="130"/>
      <c r="D37" s="130"/>
      <c r="E37" s="130"/>
      <c r="F37" s="130"/>
      <c r="G37" s="131"/>
    </row>
    <row r="38" spans="1:7" ht="32.25" customHeight="1" x14ac:dyDescent="0.3">
      <c r="A38" s="3"/>
      <c r="B38" s="4"/>
      <c r="C38" s="4"/>
      <c r="D38" s="100" t="s">
        <v>99</v>
      </c>
      <c r="E38" s="100" t="s">
        <v>102</v>
      </c>
      <c r="F38" s="4"/>
      <c r="G38" s="101" t="s">
        <v>100</v>
      </c>
    </row>
    <row r="39" spans="1:7" x14ac:dyDescent="0.3">
      <c r="A39" s="119" t="str">
        <f>IF(J28+J23&gt;0,"Asw_loop[cm2/m]","-")</f>
        <v>Asw_loop[cm2/m]</v>
      </c>
      <c r="B39" s="123"/>
      <c r="C39" s="111">
        <f>IF(J23&gt;0,G39*100/E39*PI()*(D39/20)^2,"-")</f>
        <v>23.090706003884975</v>
      </c>
      <c r="D39" s="107">
        <v>14</v>
      </c>
      <c r="E39" s="107">
        <v>20</v>
      </c>
      <c r="F39" s="109"/>
      <c r="G39" s="115">
        <v>3</v>
      </c>
    </row>
    <row r="40" spans="1:7" ht="15" thickBot="1" x14ac:dyDescent="0.35">
      <c r="A40" s="124" t="str">
        <f>IF(C40="-","-","Asw_in[cm2/m]")</f>
        <v>-</v>
      </c>
      <c r="B40" s="125"/>
      <c r="C40" s="14" t="str">
        <f>IF(C39&gt;J23+J28,"-",J23+J28-C39)</f>
        <v>-</v>
      </c>
      <c r="D40" s="103">
        <v>8</v>
      </c>
      <c r="E40" s="104">
        <f>E39</f>
        <v>20</v>
      </c>
      <c r="F40" s="23"/>
      <c r="G40" s="105" t="str">
        <f>IF(C40="-","-",IF(ROUNDUP(C40/PI()/(D40/20)^2,0)=1,2,ROUNDUP(C40/PI()/(D40/20)^2,0)))</f>
        <v>-</v>
      </c>
    </row>
  </sheetData>
  <dataConsolidate/>
  <mergeCells count="24">
    <mergeCell ref="A1:K1"/>
    <mergeCell ref="B2:K2"/>
    <mergeCell ref="A4:B4"/>
    <mergeCell ref="D4:K4"/>
    <mergeCell ref="A17:B17"/>
    <mergeCell ref="D5:K5"/>
    <mergeCell ref="D12:K12"/>
    <mergeCell ref="A12:B12"/>
    <mergeCell ref="D26:D28"/>
    <mergeCell ref="E22:H22"/>
    <mergeCell ref="E23:H23"/>
    <mergeCell ref="D18:K18"/>
    <mergeCell ref="E27:H27"/>
    <mergeCell ref="E26:H26"/>
    <mergeCell ref="D19:D20"/>
    <mergeCell ref="D22:D23"/>
    <mergeCell ref="E19:H19"/>
    <mergeCell ref="E20:H20"/>
    <mergeCell ref="A32:B32"/>
    <mergeCell ref="A33:B33"/>
    <mergeCell ref="A39:B39"/>
    <mergeCell ref="A40:B40"/>
    <mergeCell ref="A30:G30"/>
    <mergeCell ref="A37:G37"/>
  </mergeCells>
  <dataValidations count="6">
    <dataValidation type="list" allowBlank="1" showInputMessage="1" showErrorMessage="1" sqref="D39:D40 B18:B19 D32:D33 D35">
      <formula1>SteelDiam</formula1>
    </dataValidation>
    <dataValidation type="list" allowBlank="1" showInputMessage="1" showErrorMessage="1" prompt="Steel" sqref="E13">
      <formula1>steel2</formula1>
    </dataValidation>
    <dataValidation type="list" allowBlank="1" showInputMessage="1" showErrorMessage="1" prompt="ductility2" sqref="E14">
      <formula1>ductility2</formula1>
    </dataValidation>
    <dataValidation type="list" allowBlank="1" showInputMessage="1" showErrorMessage="1" prompt="Ситуация" sqref="B10">
      <formula1>ULS_Coef</formula1>
    </dataValidation>
    <dataValidation type="list" allowBlank="1" showInputMessage="1" showErrorMessage="1" prompt="Concrete" sqref="E6:F6">
      <formula1>Beton</formula1>
    </dataValidation>
    <dataValidation type="list" allowBlank="1" showInputMessage="1" showErrorMessage="1" prompt="CrossType" sqref="B13">
      <formula1>CrossType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_Button">
          <controlPr autoLine="0" r:id="rId5">
            <anchor moveWithCells="1">
              <from>
                <xdr:col>12</xdr:col>
                <xdr:colOff>83820</xdr:colOff>
                <xdr:row>23</xdr:row>
                <xdr:rowOff>7620</xdr:rowOff>
              </from>
              <to>
                <xdr:col>12</xdr:col>
                <xdr:colOff>1165860</xdr:colOff>
                <xdr:row>25</xdr:row>
                <xdr:rowOff>83820</xdr:rowOff>
              </to>
            </anchor>
          </controlPr>
        </control>
      </mc:Choice>
      <mc:Fallback>
        <control shapeId="1025" r:id="rId4" name="Calculate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D3" sqref="D3"/>
    </sheetView>
  </sheetViews>
  <sheetFormatPr defaultRowHeight="14.4" x14ac:dyDescent="0.3"/>
  <sheetData>
    <row r="1" spans="1:7" x14ac:dyDescent="0.3">
      <c r="A1" s="126" t="s">
        <v>103</v>
      </c>
      <c r="B1" s="127"/>
      <c r="C1" s="127"/>
      <c r="D1" s="127"/>
      <c r="E1" s="127"/>
      <c r="F1" s="127"/>
      <c r="G1" s="128"/>
    </row>
    <row r="2" spans="1:7" ht="28.8" x14ac:dyDescent="0.3">
      <c r="A2" s="3"/>
      <c r="B2" s="4"/>
      <c r="C2" s="4" t="s">
        <v>112</v>
      </c>
      <c r="D2" s="116" t="s">
        <v>99</v>
      </c>
      <c r="E2" s="116" t="s">
        <v>100</v>
      </c>
      <c r="F2" s="4"/>
      <c r="G2" s="117" t="s">
        <v>101</v>
      </c>
    </row>
    <row r="3" spans="1:7" x14ac:dyDescent="0.3">
      <c r="A3" s="119"/>
      <c r="B3" s="120"/>
      <c r="C3" s="118">
        <v>30.1</v>
      </c>
      <c r="D3" s="107">
        <v>28</v>
      </c>
      <c r="E3" s="108">
        <f>IF(A3&lt;&gt;"-",ROUNDUP(C3/PI()/(D3/20)^2,0),A3)</f>
        <v>5</v>
      </c>
      <c r="F3" s="109"/>
      <c r="G3" s="112">
        <f>IF(A3&lt;&gt;"-",((B7-(B9+B11/10)*2)-E3*D3/10)/(E3-1),A3)</f>
        <v>18.5</v>
      </c>
    </row>
    <row r="6" spans="1:7" x14ac:dyDescent="0.3">
      <c r="B6" t="s">
        <v>68</v>
      </c>
    </row>
    <row r="7" spans="1:7" x14ac:dyDescent="0.3">
      <c r="A7" s="2" t="str">
        <f>IF(B6="rec","b[cm]","R[cm]")</f>
        <v>b[cm]</v>
      </c>
      <c r="B7" s="69">
        <v>100</v>
      </c>
    </row>
    <row r="8" spans="1:7" x14ac:dyDescent="0.3">
      <c r="A8" s="2" t="str">
        <f>IF(B6="rec","h[cm]","")</f>
        <v>h[cm]</v>
      </c>
      <c r="B8" s="69">
        <v>55</v>
      </c>
    </row>
    <row r="9" spans="1:7" x14ac:dyDescent="0.3">
      <c r="A9" s="2" t="s">
        <v>64</v>
      </c>
      <c r="B9" s="69">
        <v>5</v>
      </c>
    </row>
    <row r="11" spans="1:7" x14ac:dyDescent="0.3">
      <c r="A11" t="s">
        <v>111</v>
      </c>
      <c r="B11" s="78">
        <v>10</v>
      </c>
    </row>
  </sheetData>
  <mergeCells count="2">
    <mergeCell ref="A1:G1"/>
    <mergeCell ref="A3:B3"/>
  </mergeCells>
  <dataValidations count="1">
    <dataValidation type="list" allowBlank="1" showInputMessage="1" showErrorMessage="1" sqref="D6 D11 B11 D3">
      <formula1>SteelDiam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1"/>
  <sheetViews>
    <sheetView topLeftCell="C1" workbookViewId="0">
      <selection activeCell="W12" sqref="W12"/>
    </sheetView>
  </sheetViews>
  <sheetFormatPr defaultRowHeight="14.4" x14ac:dyDescent="0.3"/>
  <cols>
    <col min="18" max="18" width="11.33203125" customWidth="1"/>
  </cols>
  <sheetData>
    <row r="1" spans="1:23" ht="15" thickBot="1" x14ac:dyDescent="0.3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56"/>
    </row>
    <row r="2" spans="1:23" x14ac:dyDescent="0.3">
      <c r="A2" s="25" t="s">
        <v>43</v>
      </c>
      <c r="B2" s="18" t="s">
        <v>6</v>
      </c>
      <c r="C2" s="18" t="s">
        <v>7</v>
      </c>
      <c r="D2" s="18" t="s">
        <v>8</v>
      </c>
      <c r="E2" s="18" t="s">
        <v>9</v>
      </c>
      <c r="F2" s="18" t="s">
        <v>10</v>
      </c>
      <c r="G2" s="18" t="s">
        <v>11</v>
      </c>
      <c r="H2" s="18" t="s">
        <v>12</v>
      </c>
      <c r="I2" s="20" t="s">
        <v>13</v>
      </c>
      <c r="J2" s="18" t="s">
        <v>15</v>
      </c>
      <c r="K2" s="18" t="s">
        <v>16</v>
      </c>
      <c r="L2" s="18" t="s">
        <v>17</v>
      </c>
      <c r="M2" s="18" t="s">
        <v>14</v>
      </c>
      <c r="N2" s="18" t="s">
        <v>18</v>
      </c>
      <c r="O2" s="19" t="s">
        <v>19</v>
      </c>
      <c r="R2" s="126" t="s">
        <v>59</v>
      </c>
      <c r="S2" s="157"/>
      <c r="T2" s="157"/>
      <c r="U2" s="157"/>
      <c r="V2" s="156"/>
    </row>
    <row r="3" spans="1:23" x14ac:dyDescent="0.3">
      <c r="A3" s="3"/>
      <c r="B3" s="7" t="s">
        <v>21</v>
      </c>
      <c r="C3" s="7" t="s">
        <v>21</v>
      </c>
      <c r="D3" s="7" t="s">
        <v>21</v>
      </c>
      <c r="E3" s="7" t="s">
        <v>21</v>
      </c>
      <c r="F3" s="7" t="s">
        <v>21</v>
      </c>
      <c r="G3" s="7" t="s">
        <v>21</v>
      </c>
      <c r="H3" s="7" t="s">
        <v>22</v>
      </c>
      <c r="I3" s="7" t="s">
        <v>23</v>
      </c>
      <c r="J3" s="7" t="s">
        <v>23</v>
      </c>
      <c r="K3" s="7" t="s">
        <v>23</v>
      </c>
      <c r="L3" s="7" t="s">
        <v>23</v>
      </c>
      <c r="M3" s="7"/>
      <c r="N3" s="7" t="s">
        <v>23</v>
      </c>
      <c r="O3" s="8" t="s">
        <v>23</v>
      </c>
      <c r="R3" s="3" t="s">
        <v>37</v>
      </c>
      <c r="S3" s="22" t="s">
        <v>39</v>
      </c>
      <c r="T3" s="22" t="s">
        <v>38</v>
      </c>
      <c r="U3" s="22" t="s">
        <v>40</v>
      </c>
      <c r="V3" s="52" t="s">
        <v>60</v>
      </c>
    </row>
    <row r="4" spans="1:23" x14ac:dyDescent="0.3">
      <c r="A4" s="9">
        <v>1</v>
      </c>
      <c r="B4" s="9">
        <f t="shared" ref="B4:O4" si="0">A4+1</f>
        <v>2</v>
      </c>
      <c r="C4" s="9">
        <f t="shared" si="0"/>
        <v>3</v>
      </c>
      <c r="D4" s="9">
        <f t="shared" si="0"/>
        <v>4</v>
      </c>
      <c r="E4" s="9">
        <f t="shared" si="0"/>
        <v>5</v>
      </c>
      <c r="F4" s="9">
        <f t="shared" si="0"/>
        <v>6</v>
      </c>
      <c r="G4" s="9">
        <f t="shared" si="0"/>
        <v>7</v>
      </c>
      <c r="H4" s="9">
        <f t="shared" si="0"/>
        <v>8</v>
      </c>
      <c r="I4" s="9">
        <f t="shared" si="0"/>
        <v>9</v>
      </c>
      <c r="J4" s="9">
        <f t="shared" si="0"/>
        <v>10</v>
      </c>
      <c r="K4" s="9">
        <f t="shared" si="0"/>
        <v>11</v>
      </c>
      <c r="L4" s="9">
        <f t="shared" si="0"/>
        <v>12</v>
      </c>
      <c r="M4" s="9">
        <f t="shared" si="0"/>
        <v>13</v>
      </c>
      <c r="N4" s="9">
        <f t="shared" si="0"/>
        <v>14</v>
      </c>
      <c r="O4" s="10">
        <f t="shared" si="0"/>
        <v>15</v>
      </c>
      <c r="R4" s="53">
        <f>A4</f>
        <v>1</v>
      </c>
      <c r="S4" s="9">
        <f>R4+1</f>
        <v>2</v>
      </c>
      <c r="T4" s="9">
        <f>S4+1</f>
        <v>3</v>
      </c>
      <c r="U4" s="9">
        <f>T4+1</f>
        <v>4</v>
      </c>
      <c r="V4" s="10">
        <f>U4+1</f>
        <v>5</v>
      </c>
    </row>
    <row r="5" spans="1:23" x14ac:dyDescent="0.3">
      <c r="A5" s="3" t="s">
        <v>1</v>
      </c>
      <c r="B5" s="11">
        <v>20</v>
      </c>
      <c r="C5" s="11">
        <v>25</v>
      </c>
      <c r="D5" s="11">
        <v>28</v>
      </c>
      <c r="E5" s="11">
        <v>2.2000000000000002</v>
      </c>
      <c r="F5" s="11">
        <v>1.5</v>
      </c>
      <c r="G5" s="11">
        <v>2.9</v>
      </c>
      <c r="H5" s="11">
        <v>30</v>
      </c>
      <c r="I5" s="11">
        <v>2</v>
      </c>
      <c r="J5" s="11">
        <v>3.5</v>
      </c>
      <c r="K5" s="11">
        <v>2</v>
      </c>
      <c r="L5" s="11">
        <v>3.5</v>
      </c>
      <c r="M5" s="11">
        <v>2</v>
      </c>
      <c r="N5" s="11">
        <v>1.79</v>
      </c>
      <c r="O5" s="12">
        <v>3.5</v>
      </c>
      <c r="R5" s="3" t="s">
        <v>41</v>
      </c>
      <c r="S5" s="4">
        <v>1.5</v>
      </c>
      <c r="T5" s="4">
        <v>0.85</v>
      </c>
      <c r="U5" s="4">
        <v>1</v>
      </c>
      <c r="V5" s="54">
        <v>1.1499999999999999</v>
      </c>
    </row>
    <row r="6" spans="1:23" x14ac:dyDescent="0.3">
      <c r="A6" s="3" t="s">
        <v>20</v>
      </c>
      <c r="B6" s="11">
        <v>25</v>
      </c>
      <c r="C6" s="11">
        <v>30</v>
      </c>
      <c r="D6" s="11">
        <v>33</v>
      </c>
      <c r="E6" s="11">
        <v>2.6</v>
      </c>
      <c r="F6" s="11">
        <v>1.8</v>
      </c>
      <c r="G6" s="11">
        <v>3.3</v>
      </c>
      <c r="H6" s="11">
        <v>31</v>
      </c>
      <c r="I6" s="11">
        <v>2.1</v>
      </c>
      <c r="J6" s="11">
        <f t="shared" ref="J6:O10" si="1">J5</f>
        <v>3.5</v>
      </c>
      <c r="K6" s="11">
        <f t="shared" si="1"/>
        <v>2</v>
      </c>
      <c r="L6" s="11">
        <f t="shared" si="1"/>
        <v>3.5</v>
      </c>
      <c r="M6" s="11">
        <f t="shared" si="1"/>
        <v>2</v>
      </c>
      <c r="N6" s="11">
        <f t="shared" si="1"/>
        <v>1.79</v>
      </c>
      <c r="O6" s="12">
        <f t="shared" si="1"/>
        <v>3.5</v>
      </c>
      <c r="R6" s="3" t="s">
        <v>35</v>
      </c>
      <c r="S6" s="4">
        <v>1.2</v>
      </c>
      <c r="T6" s="4">
        <v>0.85</v>
      </c>
      <c r="U6" s="4">
        <v>1</v>
      </c>
      <c r="V6" s="54">
        <v>1</v>
      </c>
    </row>
    <row r="7" spans="1:23" ht="15" thickBot="1" x14ac:dyDescent="0.35">
      <c r="A7" s="3" t="s">
        <v>2</v>
      </c>
      <c r="B7" s="11">
        <v>30</v>
      </c>
      <c r="C7" s="11">
        <v>37</v>
      </c>
      <c r="D7" s="11">
        <v>28</v>
      </c>
      <c r="E7" s="11">
        <v>2.9</v>
      </c>
      <c r="F7" s="11">
        <v>2</v>
      </c>
      <c r="G7" s="11">
        <v>3.8</v>
      </c>
      <c r="H7" s="11">
        <v>33</v>
      </c>
      <c r="I7" s="11">
        <v>2.2000000000000002</v>
      </c>
      <c r="J7" s="11">
        <f t="shared" si="1"/>
        <v>3.5</v>
      </c>
      <c r="K7" s="11">
        <f t="shared" si="1"/>
        <v>2</v>
      </c>
      <c r="L7" s="11">
        <f t="shared" si="1"/>
        <v>3.5</v>
      </c>
      <c r="M7" s="11">
        <f t="shared" si="1"/>
        <v>2</v>
      </c>
      <c r="N7" s="11">
        <f t="shared" si="1"/>
        <v>1.79</v>
      </c>
      <c r="O7" s="12">
        <f t="shared" si="1"/>
        <v>3.5</v>
      </c>
      <c r="R7" s="13" t="s">
        <v>36</v>
      </c>
      <c r="S7" s="23">
        <v>1.5</v>
      </c>
      <c r="T7" s="23">
        <v>0.85</v>
      </c>
      <c r="U7" s="23">
        <v>1</v>
      </c>
      <c r="V7" s="55">
        <v>1.1499999999999999</v>
      </c>
    </row>
    <row r="8" spans="1:23" x14ac:dyDescent="0.3">
      <c r="A8" s="3" t="s">
        <v>3</v>
      </c>
      <c r="B8" s="11">
        <v>35</v>
      </c>
      <c r="C8" s="11">
        <v>45</v>
      </c>
      <c r="D8" s="11">
        <v>43</v>
      </c>
      <c r="E8" s="11">
        <v>3.2</v>
      </c>
      <c r="F8" s="11">
        <v>2.2000000000000002</v>
      </c>
      <c r="G8" s="11">
        <v>4.2</v>
      </c>
      <c r="H8" s="11">
        <v>34</v>
      </c>
      <c r="I8" s="11">
        <v>2.25</v>
      </c>
      <c r="J8" s="11">
        <f t="shared" si="1"/>
        <v>3.5</v>
      </c>
      <c r="K8" s="11">
        <f t="shared" si="1"/>
        <v>2</v>
      </c>
      <c r="L8" s="11">
        <f t="shared" si="1"/>
        <v>3.5</v>
      </c>
      <c r="M8" s="11">
        <f t="shared" si="1"/>
        <v>2</v>
      </c>
      <c r="N8" s="11">
        <f t="shared" si="1"/>
        <v>1.79</v>
      </c>
      <c r="O8" s="12">
        <f t="shared" si="1"/>
        <v>3.5</v>
      </c>
    </row>
    <row r="9" spans="1:23" x14ac:dyDescent="0.3">
      <c r="A9" s="3" t="s">
        <v>4</v>
      </c>
      <c r="B9" s="11">
        <v>40</v>
      </c>
      <c r="C9" s="11">
        <v>50</v>
      </c>
      <c r="D9" s="11">
        <v>48</v>
      </c>
      <c r="E9" s="11">
        <v>3.5</v>
      </c>
      <c r="F9" s="11">
        <v>2.5</v>
      </c>
      <c r="G9" s="11">
        <v>4.5999999999999996</v>
      </c>
      <c r="H9" s="11">
        <v>35</v>
      </c>
      <c r="I9" s="11">
        <v>2.2999999999999998</v>
      </c>
      <c r="J9" s="11">
        <f t="shared" si="1"/>
        <v>3.5</v>
      </c>
      <c r="K9" s="11">
        <f t="shared" si="1"/>
        <v>2</v>
      </c>
      <c r="L9" s="11">
        <f t="shared" si="1"/>
        <v>3.5</v>
      </c>
      <c r="M9" s="11">
        <f t="shared" si="1"/>
        <v>2</v>
      </c>
      <c r="N9" s="11">
        <f t="shared" si="1"/>
        <v>1.79</v>
      </c>
      <c r="O9" s="12">
        <f t="shared" si="1"/>
        <v>3.5</v>
      </c>
    </row>
    <row r="10" spans="1:23" ht="15" thickBot="1" x14ac:dyDescent="0.35">
      <c r="A10" s="13" t="s">
        <v>5</v>
      </c>
      <c r="B10" s="14">
        <v>45</v>
      </c>
      <c r="C10" s="14">
        <v>55</v>
      </c>
      <c r="D10" s="14">
        <v>53</v>
      </c>
      <c r="E10" s="14">
        <v>3.8</v>
      </c>
      <c r="F10" s="14">
        <v>2.7</v>
      </c>
      <c r="G10" s="14">
        <v>4.9000000000000004</v>
      </c>
      <c r="H10" s="14">
        <v>36</v>
      </c>
      <c r="I10" s="14">
        <v>2.4</v>
      </c>
      <c r="J10" s="14">
        <f t="shared" si="1"/>
        <v>3.5</v>
      </c>
      <c r="K10" s="14">
        <f t="shared" si="1"/>
        <v>2</v>
      </c>
      <c r="L10" s="14">
        <f t="shared" si="1"/>
        <v>3.5</v>
      </c>
      <c r="M10" s="14">
        <f t="shared" si="1"/>
        <v>2</v>
      </c>
      <c r="N10" s="14">
        <f t="shared" si="1"/>
        <v>1.79</v>
      </c>
      <c r="O10" s="15">
        <f t="shared" si="1"/>
        <v>3.5</v>
      </c>
    </row>
    <row r="11" spans="1:23" ht="28.8" x14ac:dyDescent="0.3">
      <c r="R11" s="68" t="s">
        <v>67</v>
      </c>
      <c r="W11" s="79" t="s">
        <v>98</v>
      </c>
    </row>
    <row r="12" spans="1:23" ht="15" thickBot="1" x14ac:dyDescent="0.35">
      <c r="R12" t="s">
        <v>68</v>
      </c>
      <c r="W12" s="1">
        <v>1</v>
      </c>
    </row>
    <row r="13" spans="1:23" x14ac:dyDescent="0.3">
      <c r="A13" s="126" t="s">
        <v>47</v>
      </c>
      <c r="B13" s="127"/>
      <c r="C13" s="127"/>
      <c r="D13" s="127"/>
      <c r="E13" s="127"/>
      <c r="F13" s="127"/>
      <c r="G13" s="127"/>
      <c r="H13" s="127"/>
      <c r="I13" s="127"/>
      <c r="J13" s="158"/>
      <c r="K13" s="156"/>
      <c r="R13" t="s">
        <v>69</v>
      </c>
      <c r="W13" s="1">
        <f>W12+1</f>
        <v>2</v>
      </c>
    </row>
    <row r="14" spans="1:23" ht="15" customHeight="1" x14ac:dyDescent="0.3">
      <c r="A14" s="25" t="s">
        <v>43</v>
      </c>
      <c r="B14" s="18" t="s">
        <v>44</v>
      </c>
      <c r="C14" s="18" t="s">
        <v>45</v>
      </c>
      <c r="D14" s="20" t="s">
        <v>46</v>
      </c>
      <c r="E14" s="26" t="s">
        <v>55</v>
      </c>
      <c r="F14" s="4"/>
      <c r="G14" s="159" t="s">
        <v>48</v>
      </c>
      <c r="H14" s="160"/>
      <c r="I14" s="160"/>
      <c r="J14" s="160"/>
      <c r="K14" s="161"/>
      <c r="W14" s="1">
        <f t="shared" ref="W14:W31" si="2">W13+1</f>
        <v>3</v>
      </c>
    </row>
    <row r="15" spans="1:23" x14ac:dyDescent="0.3">
      <c r="A15" s="3"/>
      <c r="B15" s="7" t="s">
        <v>21</v>
      </c>
      <c r="C15" s="6" t="s">
        <v>22</v>
      </c>
      <c r="D15" s="7" t="s">
        <v>23</v>
      </c>
      <c r="E15" s="4"/>
      <c r="F15" s="4"/>
      <c r="G15" s="4"/>
      <c r="H15" s="4" t="s">
        <v>49</v>
      </c>
      <c r="I15" s="4" t="s">
        <v>50</v>
      </c>
      <c r="J15" s="4" t="s">
        <v>51</v>
      </c>
      <c r="K15" s="5" t="s">
        <v>70</v>
      </c>
      <c r="W15" s="1">
        <f t="shared" si="2"/>
        <v>4</v>
      </c>
    </row>
    <row r="16" spans="1:23" x14ac:dyDescent="0.3">
      <c r="A16" s="3" t="s">
        <v>42</v>
      </c>
      <c r="B16" s="4">
        <v>500</v>
      </c>
      <c r="C16" s="4">
        <v>200</v>
      </c>
      <c r="D16" s="6">
        <f>E16*HLOOKUP(STBP_Sheet!E14,H15:K18,4,)</f>
        <v>25</v>
      </c>
      <c r="E16" s="6">
        <v>0.9</v>
      </c>
      <c r="F16" s="4"/>
      <c r="G16" s="4" t="s">
        <v>52</v>
      </c>
      <c r="H16" s="4" t="s">
        <v>53</v>
      </c>
      <c r="I16" s="4" t="s">
        <v>53</v>
      </c>
      <c r="J16" s="4" t="s">
        <v>53</v>
      </c>
      <c r="K16" s="5"/>
      <c r="W16" s="1">
        <f t="shared" si="2"/>
        <v>5</v>
      </c>
    </row>
    <row r="17" spans="1:23" x14ac:dyDescent="0.3">
      <c r="A17" s="3" t="s">
        <v>71</v>
      </c>
      <c r="B17" s="4">
        <v>400</v>
      </c>
      <c r="C17" s="4">
        <v>200</v>
      </c>
      <c r="D17" s="6">
        <f>E17*HLOOKUP(STBP_Sheet!E14,H15:K18,4,)</f>
        <v>25</v>
      </c>
      <c r="E17" s="6">
        <v>0.9</v>
      </c>
      <c r="F17" s="4"/>
      <c r="G17" s="4"/>
      <c r="H17" s="4">
        <v>1.05</v>
      </c>
      <c r="I17" s="4">
        <v>1.08</v>
      </c>
      <c r="J17" s="4">
        <v>1.1499999999999999</v>
      </c>
      <c r="K17" s="5"/>
      <c r="W17" s="1">
        <f t="shared" si="2"/>
        <v>6</v>
      </c>
    </row>
    <row r="18" spans="1:23" ht="15" thickBot="1" x14ac:dyDescent="0.35">
      <c r="A18" s="13"/>
      <c r="B18" s="23"/>
      <c r="C18" s="23"/>
      <c r="D18" s="23"/>
      <c r="E18" s="23"/>
      <c r="F18" s="23"/>
      <c r="G18" s="23" t="s">
        <v>54</v>
      </c>
      <c r="H18" s="23">
        <v>25</v>
      </c>
      <c r="I18" s="23">
        <v>50</v>
      </c>
      <c r="J18" s="23">
        <v>75</v>
      </c>
      <c r="K18" s="24">
        <f>25/E16</f>
        <v>27.777777777777779</v>
      </c>
      <c r="W18" s="1">
        <f t="shared" si="2"/>
        <v>7</v>
      </c>
    </row>
    <row r="19" spans="1:23" x14ac:dyDescent="0.3">
      <c r="G19" s="3"/>
      <c r="H19" s="5"/>
      <c r="W19" s="1">
        <f t="shared" si="2"/>
        <v>8</v>
      </c>
    </row>
    <row r="20" spans="1:23" x14ac:dyDescent="0.3">
      <c r="G20" s="58" t="s">
        <v>62</v>
      </c>
      <c r="H20" s="56" t="s">
        <v>63</v>
      </c>
      <c r="W20" s="1">
        <f t="shared" si="2"/>
        <v>9</v>
      </c>
    </row>
    <row r="21" spans="1:23" x14ac:dyDescent="0.3">
      <c r="G21" s="59">
        <v>8</v>
      </c>
      <c r="H21" s="60">
        <f>PI()*(G21/2)^2/100</f>
        <v>0.50265482457436694</v>
      </c>
      <c r="W21" s="1">
        <f t="shared" si="2"/>
        <v>10</v>
      </c>
    </row>
    <row r="22" spans="1:23" x14ac:dyDescent="0.3">
      <c r="A22" s="57"/>
      <c r="G22" s="59">
        <v>10</v>
      </c>
      <c r="H22" s="60">
        <f t="shared" ref="H22:H31" si="3">PI()*(G22/2)^2/100</f>
        <v>0.78539816339744828</v>
      </c>
      <c r="W22" s="1">
        <f t="shared" si="2"/>
        <v>11</v>
      </c>
    </row>
    <row r="23" spans="1:23" x14ac:dyDescent="0.3">
      <c r="A23" s="57"/>
      <c r="G23" s="59">
        <v>12</v>
      </c>
      <c r="H23" s="60">
        <f t="shared" si="3"/>
        <v>1.1309733552923256</v>
      </c>
      <c r="W23" s="1">
        <f t="shared" si="2"/>
        <v>12</v>
      </c>
    </row>
    <row r="24" spans="1:23" x14ac:dyDescent="0.3">
      <c r="A24" s="57"/>
      <c r="G24" s="59">
        <v>14</v>
      </c>
      <c r="H24" s="60">
        <f t="shared" si="3"/>
        <v>1.5393804002589986</v>
      </c>
      <c r="W24" s="1">
        <f t="shared" si="2"/>
        <v>13</v>
      </c>
    </row>
    <row r="25" spans="1:23" x14ac:dyDescent="0.3">
      <c r="A25" s="57"/>
      <c r="G25" s="59">
        <v>16</v>
      </c>
      <c r="H25" s="60">
        <f t="shared" si="3"/>
        <v>2.0106192982974678</v>
      </c>
      <c r="W25" s="1">
        <f t="shared" si="2"/>
        <v>14</v>
      </c>
    </row>
    <row r="26" spans="1:23" x14ac:dyDescent="0.3">
      <c r="A26" s="57"/>
      <c r="G26" s="59">
        <v>18</v>
      </c>
      <c r="H26" s="60">
        <f t="shared" si="3"/>
        <v>2.5446900494077322</v>
      </c>
      <c r="W26" s="1">
        <f t="shared" si="2"/>
        <v>15</v>
      </c>
    </row>
    <row r="27" spans="1:23" x14ac:dyDescent="0.3">
      <c r="A27" s="57"/>
      <c r="G27" s="59">
        <v>20</v>
      </c>
      <c r="H27" s="60">
        <f t="shared" si="3"/>
        <v>3.1415926535897931</v>
      </c>
      <c r="W27" s="1">
        <f t="shared" si="2"/>
        <v>16</v>
      </c>
    </row>
    <row r="28" spans="1:23" x14ac:dyDescent="0.3">
      <c r="A28" s="57"/>
      <c r="G28" s="59">
        <v>22</v>
      </c>
      <c r="H28" s="60">
        <f t="shared" si="3"/>
        <v>3.8013271108436499</v>
      </c>
      <c r="W28" s="1">
        <f t="shared" si="2"/>
        <v>17</v>
      </c>
    </row>
    <row r="29" spans="1:23" x14ac:dyDescent="0.3">
      <c r="A29" s="57"/>
      <c r="G29" s="59">
        <v>25</v>
      </c>
      <c r="H29" s="60">
        <f t="shared" si="3"/>
        <v>4.908738521234052</v>
      </c>
      <c r="W29" s="1">
        <f t="shared" si="2"/>
        <v>18</v>
      </c>
    </row>
    <row r="30" spans="1:23" x14ac:dyDescent="0.3">
      <c r="A30" s="57"/>
      <c r="G30" s="59">
        <v>28</v>
      </c>
      <c r="H30" s="60">
        <f t="shared" si="3"/>
        <v>6.1575216010359943</v>
      </c>
      <c r="W30" s="1">
        <f t="shared" si="2"/>
        <v>19</v>
      </c>
    </row>
    <row r="31" spans="1:23" ht="15" thickBot="1" x14ac:dyDescent="0.35">
      <c r="A31" s="57"/>
      <c r="G31" s="61">
        <v>32</v>
      </c>
      <c r="H31" s="62">
        <f t="shared" si="3"/>
        <v>8.0424771931898711</v>
      </c>
      <c r="W31" s="1">
        <f t="shared" si="2"/>
        <v>20</v>
      </c>
    </row>
  </sheetData>
  <mergeCells count="4">
    <mergeCell ref="A1:O1"/>
    <mergeCell ref="R2:V2"/>
    <mergeCell ref="A13:K13"/>
    <mergeCell ref="G14:K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STBP_Sheet</vt:lpstr>
      <vt:lpstr>Help</vt:lpstr>
      <vt:lpstr>DataTable</vt:lpstr>
      <vt:lpstr>Beton</vt:lpstr>
      <vt:lpstr>Concrete</vt:lpstr>
      <vt:lpstr>CrossType</vt:lpstr>
      <vt:lpstr>ductility</vt:lpstr>
      <vt:lpstr>ductility2</vt:lpstr>
      <vt:lpstr>pcs</vt:lpstr>
      <vt:lpstr>STBP_Sheet!Print_Area</vt:lpstr>
      <vt:lpstr>Steel</vt:lpstr>
      <vt:lpstr>steel2</vt:lpstr>
      <vt:lpstr>SteelDiam</vt:lpstr>
      <vt:lpstr>ULS_Coef</vt:lpstr>
    </vt:vector>
  </TitlesOfParts>
  <Company>Rutex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StA</cp:lastModifiedBy>
  <cp:lastPrinted>2016-09-27T20:38:07Z</cp:lastPrinted>
  <dcterms:created xsi:type="dcterms:W3CDTF">2016-01-28T10:36:56Z</dcterms:created>
  <dcterms:modified xsi:type="dcterms:W3CDTF">2017-01-19T12:12:46Z</dcterms:modified>
</cp:coreProperties>
</file>